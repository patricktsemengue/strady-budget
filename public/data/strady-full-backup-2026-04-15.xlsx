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sem\Projects\strady\strady-budget\public\data\"/>
    </mc:Choice>
  </mc:AlternateContent>
  <xr:revisionPtr revIDLastSave="0" documentId="13_ncr:1_{DECBE4D5-9820-49B4-8B59-AC8D7FA911B4}" xr6:coauthVersionLast="47" xr6:coauthVersionMax="47" xr10:uidLastSave="{00000000-0000-0000-0000-000000000000}"/>
  <bookViews>
    <workbookView xWindow="-110" yWindow="-110" windowWidth="19420" windowHeight="10300" activeTab="1" xr2:uid="{40477F73-9F94-4ABF-A1F1-E452C39F31D6}"/>
  </bookViews>
  <sheets>
    <sheet name="strady-full-backup-2026-04-15" sheetId="1" r:id="rId1"/>
    <sheet name="Sheet1" sheetId="2" r:id="rId2"/>
  </sheets>
  <definedNames>
    <definedName name="ExternalData_1" localSheetId="1" hidden="1">Sheet1!$A$1:$N$53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2C1DFD-3997-4F39-B5AA-07B958222F54}" keepAlive="1" name="Query - Strady_full_backup" description="Connection to the 'Strady_full_backup' query in the workbook." type="5" refreshedVersion="8" background="1" saveData="1">
    <dbPr connection="Provider=Microsoft.Mashup.OleDb.1;Data Source=$Workbook$;Location=Strady_full_backup;Extended Properties=&quot;&quot;" command="SELECT * FROM [Strady_full_backup]"/>
  </connection>
</connections>
</file>

<file path=xl/sharedStrings.xml><?xml version="1.0" encoding="utf-8"?>
<sst xmlns="http://schemas.openxmlformats.org/spreadsheetml/2006/main" count="1027" uniqueCount="188">
  <si>
    <t>Type</t>
  </si>
  <si>
    <t>Date</t>
  </si>
  <si>
    <t>Label</t>
  </si>
  <si>
    <t>Value</t>
  </si>
  <si>
    <t>Source</t>
  </si>
  <si>
    <t>Destination</t>
  </si>
  <si>
    <t>Category</t>
  </si>
  <si>
    <t>Icon</t>
  </si>
  <si>
    <t>Color</t>
  </si>
  <si>
    <t>Periodicity</t>
  </si>
  <si>
    <t>EndDate</t>
  </si>
  <si>
    <t>IsSaving</t>
  </si>
  <si>
    <t>ACCOUNT</t>
  </si>
  <si>
    <t>CATEGORY</t>
  </si>
  <si>
    <t>fa-coins</t>
  </si>
  <si>
    <t>#f43f5e</t>
  </si>
  <si>
    <t>fa-piggy-bank</t>
  </si>
  <si>
    <t>#f59e0b</t>
  </si>
  <si>
    <t>fa-file-shield</t>
  </si>
  <si>
    <t>fa-house</t>
  </si>
  <si>
    <t>#f97316</t>
  </si>
  <si>
    <t>fa-box-archive</t>
  </si>
  <si>
    <t>#14b8a6</t>
  </si>
  <si>
    <t>fa-receipt</t>
  </si>
  <si>
    <t>#ec4899</t>
  </si>
  <si>
    <t>fa-gift</t>
  </si>
  <si>
    <t>fa-bolt</t>
  </si>
  <si>
    <t>#fbbf24</t>
  </si>
  <si>
    <t>Alimentation</t>
  </si>
  <si>
    <t>RECURRING_TEMPLATE</t>
  </si>
  <si>
    <t>Croix Rouges</t>
  </si>
  <si>
    <t>external</t>
  </si>
  <si>
    <t>M</t>
  </si>
  <si>
    <t>Dette 30K</t>
  </si>
  <si>
    <t>Argent de poche</t>
  </si>
  <si>
    <t>Proximus</t>
  </si>
  <si>
    <t>Provision Taxes Communales</t>
  </si>
  <si>
    <t>Provision EP PENSION</t>
  </si>
  <si>
    <t>Provison Tema</t>
  </si>
  <si>
    <t>LDD (lili)</t>
  </si>
  <si>
    <t>Frais divers (prixtel, ...)</t>
  </si>
  <si>
    <t>Provision Daddy</t>
  </si>
  <si>
    <t>Provision Assurance CBC - habitation / Familiale</t>
  </si>
  <si>
    <t>Assurance Solde Restant dû</t>
  </si>
  <si>
    <t>(Ep) 1_10eme_Fri</t>
  </si>
  <si>
    <t>(Ep) 1_10eme_Mao</t>
  </si>
  <si>
    <t>(Ep) Ael</t>
  </si>
  <si>
    <t>(Ep) Aos</t>
  </si>
  <si>
    <t>(Ep) Enih</t>
  </si>
  <si>
    <t>(Pr) Depense_Non_Courante</t>
  </si>
  <si>
    <t>(Pr) Depense_Courante_Sante_Ecoles</t>
  </si>
  <si>
    <t>1-Revenue</t>
  </si>
  <si>
    <t>2-Saving</t>
  </si>
  <si>
    <t>7-Divers et hors budget</t>
  </si>
  <si>
    <t>(C) CBC</t>
  </si>
  <si>
    <t>(C) Belfius_Mao</t>
  </si>
  <si>
    <t>(C) Belfius_Fri</t>
  </si>
  <si>
    <t>Allowances</t>
  </si>
  <si>
    <t>ETF (Aos - Enih - Ael)</t>
  </si>
  <si>
    <t>Engie</t>
  </si>
  <si>
    <t>Swde</t>
  </si>
  <si>
    <t>Provison Revenu Cadastrale</t>
  </si>
  <si>
    <t>Provison Petites Vacances &amp; weekend</t>
  </si>
  <si>
    <t>Provision Aide et Soutien familial</t>
  </si>
  <si>
    <t>isInvestmentAccount</t>
  </si>
  <si>
    <t>(I) ETF_SAXO_ENFANTS</t>
  </si>
  <si>
    <t>(I) Saxo_Mao</t>
  </si>
  <si>
    <t>(I) Degiro_Mao</t>
  </si>
  <si>
    <t>2026-01-01</t>
  </si>
  <si>
    <t>2025-12-31</t>
  </si>
  <si>
    <t>Salary (Mao)</t>
  </si>
  <si>
    <t>Salary (Fri)</t>
  </si>
  <si>
    <t>1-10th (Mao)</t>
  </si>
  <si>
    <t>(Ep) Aos (Fri)</t>
  </si>
  <si>
    <t>(Ep) Enih (Fri)</t>
  </si>
  <si>
    <t>(Ep) Ael (Fri)</t>
  </si>
  <si>
    <t>1-10th (Fri)</t>
  </si>
  <si>
    <t>Frais Bancaire BELFIUS (mao)</t>
  </si>
  <si>
    <t>Argent de poche (mao)</t>
  </si>
  <si>
    <t>Frais Formation</t>
  </si>
  <si>
    <t>Provision  Sorties &amp; Resto</t>
  </si>
  <si>
    <t>Provision Yuzzu Assurance NISSAN</t>
  </si>
  <si>
    <t>Provison Nissan CT + TC</t>
  </si>
  <si>
    <t>Provision USA 2026</t>
  </si>
  <si>
    <t>Provison Noël</t>
  </si>
  <si>
    <t>Provison - Travaux Maison</t>
  </si>
  <si>
    <t>Provision SWDE</t>
  </si>
  <si>
    <t>Provision Engie</t>
  </si>
  <si>
    <t>Frais Bancaire BELFIUS (Fri)</t>
  </si>
  <si>
    <t>(Pr) Depense_Courante_Sante_Ecole</t>
  </si>
  <si>
    <t>Provision EP PENSION (Mao)</t>
  </si>
  <si>
    <t>Provison Petites Vacances &amp; weekend (mao)</t>
  </si>
  <si>
    <t>3-Depenses fixes</t>
  </si>
  <si>
    <t>4-Depenses variables</t>
  </si>
  <si>
    <t>5- Charges differees</t>
  </si>
  <si>
    <t>8-Discretionnaire</t>
  </si>
  <si>
    <t>Provision Mutualia -  Sante (mao)</t>
  </si>
  <si>
    <t>Provision Visite medicale - soins - pharmacie</t>
  </si>
  <si>
    <t>Provision Mutualia -  Sante</t>
  </si>
  <si>
    <t>Provision Auto Reparations</t>
  </si>
  <si>
    <t>CBC La Louviere</t>
  </si>
  <si>
    <t>Hygiene</t>
  </si>
  <si>
    <t>Provision Aide menagere</t>
  </si>
  <si>
    <t>Provision Hygiene-Tresse</t>
  </si>
  <si>
    <t>6-Bien-etre Programme</t>
  </si>
  <si>
    <t>Provision Garderie Activite Extra Scolaire + interets sur compte</t>
  </si>
  <si>
    <t>Provison Interets &amp; Divers hors budgets</t>
  </si>
  <si>
    <t>IsInvestment</t>
  </si>
  <si>
    <t>Nature</t>
  </si>
  <si>
    <t>Portefeuille Actions</t>
  </si>
  <si>
    <t/>
  </si>
  <si>
    <t>0</t>
  </si>
  <si>
    <t>Compte Joint (Ménage)</t>
  </si>
  <si>
    <t>Épargne de Sécurité</t>
  </si>
  <si>
    <t>1</t>
  </si>
  <si>
    <t>EPARGNES</t>
  </si>
  <si>
    <t>EPARGNE</t>
  </si>
  <si>
    <t>DIVERS ET HORS BUDGET</t>
  </si>
  <si>
    <t>fa-face-smile</t>
  </si>
  <si>
    <t>QUOTIDIEN</t>
  </si>
  <si>
    <t>BIEN ETRE PROGRAMME - VOYAGES</t>
  </si>
  <si>
    <t>fa-gamepad</t>
  </si>
  <si>
    <t>#10b981</t>
  </si>
  <si>
    <t>LOISIR</t>
  </si>
  <si>
    <t>CHARGES FIXES</t>
  </si>
  <si>
    <t>#8b5cf6</t>
  </si>
  <si>
    <t>FIXE</t>
  </si>
  <si>
    <t>DISCRETIONARIES</t>
  </si>
  <si>
    <t>CHARGES VARIABLES</t>
  </si>
  <si>
    <t>fa-basket-shopping</t>
  </si>
  <si>
    <t>Dividendes &amp; Intérêts</t>
  </si>
  <si>
    <t>fa-money-bill-trend-up</t>
  </si>
  <si>
    <t>#34d399</t>
  </si>
  <si>
    <t>REVENU</t>
  </si>
  <si>
    <t>Énergie &amp; Eau</t>
  </si>
  <si>
    <t>CHARGES DIFFEREES</t>
  </si>
  <si>
    <t>REVENUS</t>
  </si>
  <si>
    <t>Vie Courante (Courses)</t>
  </si>
  <si>
    <t>fa-shopping-basket</t>
  </si>
  <si>
    <t>Logement &amp; Prêts</t>
  </si>
  <si>
    <t>fa-house-lock</t>
  </si>
  <si>
    <t>#3b82f6</t>
  </si>
  <si>
    <t>Assurances</t>
  </si>
  <si>
    <t>fa-shield-halved</t>
  </si>
  <si>
    <t>#64748b</t>
  </si>
  <si>
    <t>Loisirs &amp; Sorties</t>
  </si>
  <si>
    <t>Revenu Locatif</t>
  </si>
  <si>
    <t>fa-building-circle-check</t>
  </si>
  <si>
    <t>#059669</t>
  </si>
  <si>
    <t>Salaire (Entrées)</t>
  </si>
  <si>
    <t>fa-money-bill-wave</t>
  </si>
  <si>
    <t>Épargne &amp; Invest.</t>
  </si>
  <si>
    <t>#6366f1</t>
  </si>
  <si>
    <t>Enfant &amp; Scolarité</t>
  </si>
  <si>
    <t>fa-graduation-cap</t>
  </si>
  <si>
    <t>Transport</t>
  </si>
  <si>
    <t>fa-car</t>
  </si>
  <si>
    <t>#ef4444</t>
  </si>
  <si>
    <t>Prêt Appartement Locatif</t>
  </si>
  <si>
    <t>Prêt Auto</t>
  </si>
  <si>
    <t>Dividendes Portefeuille</t>
  </si>
  <si>
    <t>Électricité &amp; Gaz</t>
  </si>
  <si>
    <t>Prêt Maison (RP)</t>
  </si>
  <si>
    <t>Pack Assurances (Auto/Hab/Fam)</t>
  </si>
  <si>
    <t>Assurance Vie</t>
  </si>
  <si>
    <t>Virement Épargne Automatique</t>
  </si>
  <si>
    <t>Loyer Appartement (Revenu)</t>
  </si>
  <si>
    <t>Salaire Parent 1 (Median BE)</t>
  </si>
  <si>
    <t>Salaire Parent 2 (Median BE)</t>
  </si>
  <si>
    <t>Frais Scolaires &amp; Cantine</t>
  </si>
  <si>
    <t>Provision Eau</t>
  </si>
  <si>
    <t>TRANSACTION</t>
  </si>
  <si>
    <t>Plein Essence</t>
  </si>
  <si>
    <t>Resto Famille</t>
  </si>
  <si>
    <t>Courses Delhaize</t>
  </si>
  <si>
    <t>ASSET</t>
  </si>
  <si>
    <t>Appartement Locatif</t>
  </si>
  <si>
    <t>ASSET_VALUE</t>
  </si>
  <si>
    <t>Bitcoin (Portefeuille)</t>
  </si>
  <si>
    <t>0.015</t>
  </si>
  <si>
    <t>Maison (Résidence Principale)</t>
  </si>
  <si>
    <t>Actions Entreprise (ESPP)</t>
  </si>
  <si>
    <t>100</t>
  </si>
  <si>
    <t>LIABILITY</t>
  </si>
  <si>
    <t>Crédit Appartement Locatif</t>
  </si>
  <si>
    <t>LIABILITY_VALUE</t>
  </si>
  <si>
    <t>Financement Auto</t>
  </si>
  <si>
    <t>Hypothèque Maison (RP)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</si>
</sst>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64" fontId="18" fillId="0" borderId="0" xfId="1" applyNumberFormat="1" applyFont="1" applyAlignment="1">
      <alignment horizontal="left" vertical="center"/>
    </xf>
    <xf numFmtId="14" fontId="0" fillId="0" borderId="0" xfId="0" quotePrefix="1" applyNumberFormat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D56805F-E07C-4690-BB88-9C90C65B1FA0}" autoFormatId="16" applyNumberFormats="0" applyBorderFormats="0" applyFontFormats="0" applyPatternFormats="0" applyAlignmentFormats="0" applyWidthHeightFormats="0">
  <queryTableRefresh nextId="15">
    <queryTableFields count="14">
      <queryTableField id="1" name="Type" tableColumnId="1"/>
      <queryTableField id="2" name="Date" tableColumnId="2"/>
      <queryTableField id="3" name="Label" tableColumnId="3"/>
      <queryTableField id="4" name="Value" tableColumnId="4"/>
      <queryTableField id="5" name="Source" tableColumnId="5"/>
      <queryTableField id="6" name="Destination" tableColumnId="6"/>
      <queryTableField id="7" name="Category" tableColumnId="7"/>
      <queryTableField id="8" name="Icon" tableColumnId="8"/>
      <queryTableField id="9" name="Color" tableColumnId="9"/>
      <queryTableField id="10" name="Periodicity" tableColumnId="10"/>
      <queryTableField id="11" name="EndDate" tableColumnId="11"/>
      <queryTableField id="12" name="IsSaving" tableColumnId="12"/>
      <queryTableField id="13" name="IsInvestment" tableColumnId="13"/>
      <queryTableField id="14" name="Nature" tableColumnId="1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80CF69-0ADC-4512-AAFD-3D16F421C736}" name="Table1" displayName="Table1" ref="A1:M73" totalsRowShown="0">
  <autoFilter ref="A1:M73" xr:uid="{2180CF69-0ADC-4512-AAFD-3D16F421C736}"/>
  <tableColumns count="13">
    <tableColumn id="1" xr3:uid="{C45AC903-9407-4E8F-9AF3-54E7A82D183C}" name="Type"/>
    <tableColumn id="2" xr3:uid="{B3F3D258-011A-448D-9E0C-95793364E2E0}" name="Date" dataDxfId="13"/>
    <tableColumn id="3" xr3:uid="{74944456-02AB-42F9-AE66-CB7B1DE79606}" name="Label"/>
    <tableColumn id="4" xr3:uid="{2B6ED587-3EA0-49A3-8139-2F792196DDA9}" name="Value"/>
    <tableColumn id="5" xr3:uid="{195B7846-1B6D-4E79-A49C-59E8383573F8}" name="Source"/>
    <tableColumn id="6" xr3:uid="{BB9953B1-41FC-4EDC-8C26-F9BB107EFFF8}" name="Destination"/>
    <tableColumn id="7" xr3:uid="{87144B2C-0629-4C58-B5BF-07917F9F3272}" name="Category"/>
    <tableColumn id="8" xr3:uid="{F5D3E4A6-7CB6-42F5-8381-E3B817503379}" name="Icon"/>
    <tableColumn id="9" xr3:uid="{F466417F-4C31-4CA2-AC4E-63F917631528}" name="Color"/>
    <tableColumn id="10" xr3:uid="{85F5CE7A-7C71-425C-9750-CA42DAD47DCC}" name="Periodicity"/>
    <tableColumn id="11" xr3:uid="{6BCFAB0E-C204-4AD5-89CA-BA38D5B69E64}" name="EndDate"/>
    <tableColumn id="12" xr3:uid="{875834BB-0DF6-4DEA-8735-FEBEDCD308C0}" name="IsSaving"/>
    <tableColumn id="13" xr3:uid="{02E78D19-92F6-4871-87DE-392942B00CB2}" name="isInvestmentAccount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ED86EC-D107-4A76-B82B-2B1D0D53509A}" name="Strady_full_backup" displayName="Strady_full_backup" ref="A1:N53" tableType="queryTable" totalsRowShown="0">
  <autoFilter ref="A1:N53" xr:uid="{3FED86EC-D107-4A76-B82B-2B1D0D53509A}"/>
  <tableColumns count="14">
    <tableColumn id="1" xr3:uid="{02FBEE8D-3E08-4F00-91EE-3AC7ABBBA257}" uniqueName="1" name="Type" queryTableFieldId="1" dataDxfId="11"/>
    <tableColumn id="2" xr3:uid="{555B263C-E66D-4688-A9E7-9313E6442706}" uniqueName="2" name="Date" queryTableFieldId="2" dataDxfId="10"/>
    <tableColumn id="3" xr3:uid="{80191478-C9D3-4BD8-A80F-685F857B82FB}" uniqueName="3" name="Label" queryTableFieldId="3" dataDxfId="9"/>
    <tableColumn id="4" xr3:uid="{D7C740C5-7B6F-4D34-A31C-AD3369D6B56A}" uniqueName="4" name="Value" queryTableFieldId="4"/>
    <tableColumn id="5" xr3:uid="{003C981C-2268-4E98-BEEA-3E8EBD11A29E}" uniqueName="5" name="Source" queryTableFieldId="5" dataDxfId="8"/>
    <tableColumn id="6" xr3:uid="{9478CA91-F3CF-449A-93EB-44705BFF485F}" uniqueName="6" name="Destination" queryTableFieldId="6" dataDxfId="7"/>
    <tableColumn id="7" xr3:uid="{DE63D7E1-B8C3-4825-9E68-59DFDEB399E3}" uniqueName="7" name="Category" queryTableFieldId="7" dataDxfId="6"/>
    <tableColumn id="8" xr3:uid="{19D17A5A-7EB8-4F74-ADC2-60BF020FA291}" uniqueName="8" name="Icon" queryTableFieldId="8" dataDxfId="5"/>
    <tableColumn id="9" xr3:uid="{D9F512E7-7421-4021-A69D-EDE9B98DA175}" uniqueName="9" name="Color" queryTableFieldId="9" dataDxfId="4"/>
    <tableColumn id="10" xr3:uid="{92C53240-F1F5-40E5-9563-F9FBB11BECDA}" uniqueName="10" name="Periodicity" queryTableFieldId="10" dataDxfId="3"/>
    <tableColumn id="11" xr3:uid="{68BF63DE-36D3-40F4-83B7-EB63A27C7250}" uniqueName="11" name="EndDate" queryTableFieldId="11"/>
    <tableColumn id="12" xr3:uid="{11F91E50-EEAA-49B4-BB62-E1083992183A}" uniqueName="12" name="IsSaving" queryTableFieldId="12" dataDxfId="2"/>
    <tableColumn id="13" xr3:uid="{C82C7E68-ECEE-493A-BD81-4854AEE4F65B}" uniqueName="13" name="IsInvestment" queryTableFieldId="13" dataDxfId="1"/>
    <tableColumn id="14" xr3:uid="{1BB8039F-5C81-4337-BF78-8471C791E365}" uniqueName="14" name="Natur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58510-F758-4446-8DA6-263AC375AB4F}">
  <dimension ref="A1:O73"/>
  <sheetViews>
    <sheetView topLeftCell="A28" workbookViewId="0">
      <selection activeCell="Q14" sqref="Q14"/>
    </sheetView>
  </sheetViews>
  <sheetFormatPr defaultRowHeight="14.5" x14ac:dyDescent="0.35"/>
  <cols>
    <col min="1" max="1" width="20" bestFit="1" customWidth="1"/>
    <col min="2" max="2" width="10.08984375" bestFit="1" customWidth="1"/>
    <col min="3" max="3" width="40" bestFit="1" customWidth="1"/>
    <col min="4" max="4" width="7.36328125" customWidth="1"/>
    <col min="5" max="5" width="20.1796875" bestFit="1" customWidth="1"/>
    <col min="6" max="6" width="29.54296875" bestFit="1" customWidth="1"/>
    <col min="7" max="7" width="14.54296875" bestFit="1" customWidth="1"/>
    <col min="8" max="8" width="16.453125" bestFit="1" customWidth="1"/>
    <col min="9" max="9" width="7.81640625" bestFit="1" customWidth="1"/>
    <col min="10" max="10" width="11.36328125" customWidth="1"/>
    <col min="11" max="11" width="10.08984375" bestFit="1" customWidth="1"/>
    <col min="12" max="12" width="9.36328125" customWidth="1"/>
    <col min="13" max="13" width="19.90625" customWidth="1"/>
    <col min="14" max="14" width="9.453125" customWidth="1"/>
    <col min="15" max="15" width="19.81640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64</v>
      </c>
      <c r="O1" t="str">
        <f>""""&amp;A1&amp;""","""&amp;B1&amp;""","""&amp;C1&amp;""","""&amp;D1&amp;""","""&amp;E1&amp;""","""&amp;F1&amp;""","""&amp;G1&amp;""","""&amp;H1&amp;""","""&amp;I1&amp;""","""&amp;J1&amp;""","""&amp;K1&amp;""","""&amp;L1&amp;""","""&amp;M1&amp;""""</f>
        <v>"Type","Date","Label","Value","Source","Destination","Category","Icon","Color","Periodicity","EndDate","IsSaving","isInvestmentAccount"</v>
      </c>
    </row>
    <row r="2" spans="1:15" x14ac:dyDescent="0.35">
      <c r="A2" t="s">
        <v>12</v>
      </c>
      <c r="B2" s="3" t="s">
        <v>69</v>
      </c>
      <c r="C2" t="s">
        <v>44</v>
      </c>
      <c r="D2">
        <v>19637</v>
      </c>
      <c r="L2">
        <v>1</v>
      </c>
      <c r="O2" t="str">
        <f t="shared" ref="O2:O65" si="0">""""&amp;A2&amp;""","""&amp;B2&amp;""","""&amp;C2&amp;""","""&amp;D2&amp;""","""&amp;E2&amp;""","""&amp;F2&amp;""","""&amp;G2&amp;""","""&amp;H2&amp;""","""&amp;I2&amp;""","""&amp;J2&amp;""","""&amp;K2&amp;""","""&amp;L2&amp;""","""&amp;M2&amp;""""</f>
        <v>"ACCOUNT","2025-12-31","(Ep) 1_10eme_Fri","19637","","","","","","","","1",""</v>
      </c>
    </row>
    <row r="3" spans="1:15" x14ac:dyDescent="0.35">
      <c r="A3" t="s">
        <v>12</v>
      </c>
      <c r="B3" s="3" t="s">
        <v>69</v>
      </c>
      <c r="C3" t="s">
        <v>45</v>
      </c>
      <c r="D3">
        <v>1860</v>
      </c>
      <c r="L3">
        <v>1</v>
      </c>
      <c r="O3" t="str">
        <f t="shared" si="0"/>
        <v>"ACCOUNT","2025-12-31","(Ep) 1_10eme_Mao","1860","","","","","","","","1",""</v>
      </c>
    </row>
    <row r="4" spans="1:15" x14ac:dyDescent="0.35">
      <c r="A4" t="s">
        <v>12</v>
      </c>
      <c r="B4" s="3" t="s">
        <v>69</v>
      </c>
      <c r="C4" t="s">
        <v>46</v>
      </c>
      <c r="D4">
        <v>6207</v>
      </c>
      <c r="L4">
        <v>1</v>
      </c>
      <c r="O4" t="str">
        <f t="shared" si="0"/>
        <v>"ACCOUNT","2025-12-31","(Ep) Ael","6207","","","","","","","","1",""</v>
      </c>
    </row>
    <row r="5" spans="1:15" x14ac:dyDescent="0.35">
      <c r="A5" t="s">
        <v>12</v>
      </c>
      <c r="B5" s="3" t="s">
        <v>69</v>
      </c>
      <c r="C5" t="s">
        <v>47</v>
      </c>
      <c r="D5">
        <v>8700</v>
      </c>
      <c r="L5">
        <v>1</v>
      </c>
      <c r="O5" t="str">
        <f t="shared" si="0"/>
        <v>"ACCOUNT","2025-12-31","(Ep) Aos","8700","","","","","","","","1",""</v>
      </c>
    </row>
    <row r="6" spans="1:15" x14ac:dyDescent="0.35">
      <c r="A6" t="s">
        <v>12</v>
      </c>
      <c r="B6" s="3" t="s">
        <v>69</v>
      </c>
      <c r="C6" t="s">
        <v>48</v>
      </c>
      <c r="D6">
        <v>7674</v>
      </c>
      <c r="L6">
        <v>1</v>
      </c>
      <c r="O6" t="str">
        <f t="shared" si="0"/>
        <v>"ACCOUNT","2025-12-31","(Ep) Enih","7674","","","","","","","","1",""</v>
      </c>
    </row>
    <row r="7" spans="1:15" x14ac:dyDescent="0.35">
      <c r="A7" t="s">
        <v>12</v>
      </c>
      <c r="B7" s="3" t="s">
        <v>69</v>
      </c>
      <c r="C7" t="s">
        <v>49</v>
      </c>
      <c r="D7">
        <v>2596</v>
      </c>
      <c r="O7" t="str">
        <f t="shared" si="0"/>
        <v>"ACCOUNT","2025-12-31","(Pr) Depense_Non_Courante","2596","","","","","","","","",""</v>
      </c>
    </row>
    <row r="8" spans="1:15" x14ac:dyDescent="0.35">
      <c r="A8" t="s">
        <v>12</v>
      </c>
      <c r="B8" s="3" t="s">
        <v>69</v>
      </c>
      <c r="C8" t="s">
        <v>89</v>
      </c>
      <c r="D8">
        <v>7351</v>
      </c>
      <c r="O8" t="str">
        <f t="shared" si="0"/>
        <v>"ACCOUNT","2025-12-31","(Pr) Depense_Courante_Sante_Ecole","7351","","","","","","","","",""</v>
      </c>
    </row>
    <row r="9" spans="1:15" x14ac:dyDescent="0.35">
      <c r="A9" t="s">
        <v>12</v>
      </c>
      <c r="B9" s="3" t="s">
        <v>69</v>
      </c>
      <c r="C9" t="s">
        <v>54</v>
      </c>
      <c r="D9">
        <v>0</v>
      </c>
      <c r="O9" t="str">
        <f t="shared" si="0"/>
        <v>"ACCOUNT","2025-12-31","(C) CBC","0","","","","","","","","",""</v>
      </c>
    </row>
    <row r="10" spans="1:15" x14ac:dyDescent="0.35">
      <c r="A10" t="s">
        <v>12</v>
      </c>
      <c r="B10" s="3" t="s">
        <v>69</v>
      </c>
      <c r="C10" t="s">
        <v>55</v>
      </c>
      <c r="D10">
        <v>0</v>
      </c>
      <c r="O10" t="str">
        <f t="shared" si="0"/>
        <v>"ACCOUNT","2025-12-31","(C) Belfius_Mao","0","","","","","","","","",""</v>
      </c>
    </row>
    <row r="11" spans="1:15" x14ac:dyDescent="0.35">
      <c r="A11" t="s">
        <v>12</v>
      </c>
      <c r="B11" s="3" t="s">
        <v>69</v>
      </c>
      <c r="C11" t="s">
        <v>56</v>
      </c>
      <c r="D11">
        <v>0</v>
      </c>
      <c r="O11" t="str">
        <f t="shared" si="0"/>
        <v>"ACCOUNT","2025-12-31","(C) Belfius_Fri","0","","","","","","","","",""</v>
      </c>
    </row>
    <row r="12" spans="1:15" x14ac:dyDescent="0.35">
      <c r="A12" t="s">
        <v>12</v>
      </c>
      <c r="B12" s="3" t="s">
        <v>69</v>
      </c>
      <c r="C12" t="s">
        <v>65</v>
      </c>
      <c r="D12">
        <v>7000</v>
      </c>
      <c r="M12">
        <v>1</v>
      </c>
      <c r="O12" t="str">
        <f t="shared" si="0"/>
        <v>"ACCOUNT","2025-12-31","(I) ETF_SAXO_ENFANTS","7000","","","","","","","","","1"</v>
      </c>
    </row>
    <row r="13" spans="1:15" x14ac:dyDescent="0.35">
      <c r="A13" t="s">
        <v>12</v>
      </c>
      <c r="B13" s="3" t="s">
        <v>69</v>
      </c>
      <c r="C13" t="s">
        <v>66</v>
      </c>
      <c r="D13">
        <v>45000</v>
      </c>
      <c r="M13">
        <v>1</v>
      </c>
      <c r="O13" t="str">
        <f t="shared" si="0"/>
        <v>"ACCOUNT","2025-12-31","(I) Saxo_Mao","45000","","","","","","","","","1"</v>
      </c>
    </row>
    <row r="14" spans="1:15" x14ac:dyDescent="0.35">
      <c r="A14" t="s">
        <v>12</v>
      </c>
      <c r="B14" s="3" t="s">
        <v>69</v>
      </c>
      <c r="C14" t="s">
        <v>67</v>
      </c>
      <c r="D14">
        <v>24000</v>
      </c>
      <c r="M14">
        <v>1</v>
      </c>
      <c r="O14" t="str">
        <f t="shared" si="0"/>
        <v>"ACCOUNT","2025-12-31","(I) Degiro_Mao","24000","","","","","","","","","1"</v>
      </c>
    </row>
    <row r="15" spans="1:15" x14ac:dyDescent="0.35">
      <c r="A15" t="s">
        <v>13</v>
      </c>
      <c r="C15" t="s">
        <v>51</v>
      </c>
      <c r="H15" t="s">
        <v>14</v>
      </c>
      <c r="I15" t="s">
        <v>15</v>
      </c>
      <c r="O15" t="str">
        <f t="shared" si="0"/>
        <v>"CATEGORY","","1-Revenue","","","","","fa-coins","#f43f5e","","","",""</v>
      </c>
    </row>
    <row r="16" spans="1:15" x14ac:dyDescent="0.35">
      <c r="A16" t="s">
        <v>13</v>
      </c>
      <c r="C16" t="s">
        <v>52</v>
      </c>
      <c r="H16" t="s">
        <v>16</v>
      </c>
      <c r="I16" t="s">
        <v>17</v>
      </c>
      <c r="O16" t="str">
        <f t="shared" si="0"/>
        <v>"CATEGORY","","2-Saving","","","","","fa-piggy-bank","#f59e0b","","","",""</v>
      </c>
    </row>
    <row r="17" spans="1:15" x14ac:dyDescent="0.35">
      <c r="A17" t="s">
        <v>13</v>
      </c>
      <c r="C17" s="2" t="s">
        <v>92</v>
      </c>
      <c r="H17" t="s">
        <v>18</v>
      </c>
      <c r="I17" t="s">
        <v>17</v>
      </c>
      <c r="O17" t="str">
        <f t="shared" si="0"/>
        <v>"CATEGORY","","3-Depenses fixes","","","","","fa-file-shield","#f59e0b","","","",""</v>
      </c>
    </row>
    <row r="18" spans="1:15" x14ac:dyDescent="0.35">
      <c r="A18" t="s">
        <v>13</v>
      </c>
      <c r="C18" t="s">
        <v>93</v>
      </c>
      <c r="H18" t="s">
        <v>19</v>
      </c>
      <c r="I18" t="s">
        <v>20</v>
      </c>
      <c r="O18" t="str">
        <f t="shared" si="0"/>
        <v>"CATEGORY","","4-Depenses variables","","","","","fa-house","#f97316","","","",""</v>
      </c>
    </row>
    <row r="19" spans="1:15" x14ac:dyDescent="0.35">
      <c r="A19" t="s">
        <v>13</v>
      </c>
      <c r="C19" t="s">
        <v>94</v>
      </c>
      <c r="H19" t="s">
        <v>21</v>
      </c>
      <c r="I19" t="s">
        <v>22</v>
      </c>
      <c r="O19" t="str">
        <f t="shared" si="0"/>
        <v>"CATEGORY","","5- Charges differees","","","","","fa-box-archive","#14b8a6","","","",""</v>
      </c>
    </row>
    <row r="20" spans="1:15" x14ac:dyDescent="0.35">
      <c r="A20" t="s">
        <v>13</v>
      </c>
      <c r="C20" t="s">
        <v>104</v>
      </c>
      <c r="H20" t="s">
        <v>23</v>
      </c>
      <c r="I20" t="s">
        <v>24</v>
      </c>
      <c r="O20" t="str">
        <f t="shared" si="0"/>
        <v>"CATEGORY","","6-Bien-etre Programme","","","","","fa-receipt","#ec4899","","","",""</v>
      </c>
    </row>
    <row r="21" spans="1:15" x14ac:dyDescent="0.35">
      <c r="A21" t="s">
        <v>13</v>
      </c>
      <c r="C21" t="s">
        <v>53</v>
      </c>
      <c r="H21" t="s">
        <v>25</v>
      </c>
      <c r="I21" t="s">
        <v>22</v>
      </c>
      <c r="O21" t="str">
        <f t="shared" si="0"/>
        <v>"CATEGORY","","7-Divers et hors budget","","","","","fa-gift","#14b8a6","","","",""</v>
      </c>
    </row>
    <row r="22" spans="1:15" x14ac:dyDescent="0.35">
      <c r="A22" t="s">
        <v>13</v>
      </c>
      <c r="C22" t="s">
        <v>95</v>
      </c>
      <c r="H22" t="s">
        <v>26</v>
      </c>
      <c r="I22" t="s">
        <v>27</v>
      </c>
      <c r="O22" t="str">
        <f t="shared" si="0"/>
        <v>"CATEGORY","","8-Discretionnaire","","","","","fa-bolt","#fbbf24","","","",""</v>
      </c>
    </row>
    <row r="23" spans="1:15" x14ac:dyDescent="0.35">
      <c r="A23" t="s">
        <v>29</v>
      </c>
      <c r="B23" s="3" t="s">
        <v>68</v>
      </c>
      <c r="C23" t="s">
        <v>70</v>
      </c>
      <c r="D23">
        <v>3000</v>
      </c>
      <c r="E23" t="s">
        <v>31</v>
      </c>
      <c r="F23" t="s">
        <v>54</v>
      </c>
      <c r="G23" t="s">
        <v>51</v>
      </c>
      <c r="J23" t="s">
        <v>32</v>
      </c>
      <c r="K23" s="1"/>
      <c r="O23" t="str">
        <f t="shared" si="0"/>
        <v>"RECURRING_TEMPLATE","2026-01-01","Salary (Mao)","3000","external","(C) CBC","1-Revenue","","","M","","",""</v>
      </c>
    </row>
    <row r="24" spans="1:15" x14ac:dyDescent="0.35">
      <c r="A24" t="s">
        <v>29</v>
      </c>
      <c r="B24" s="3" t="s">
        <v>68</v>
      </c>
      <c r="C24" t="s">
        <v>57</v>
      </c>
      <c r="D24">
        <v>594</v>
      </c>
      <c r="E24" t="s">
        <v>31</v>
      </c>
      <c r="F24" t="s">
        <v>55</v>
      </c>
      <c r="G24" t="s">
        <v>52</v>
      </c>
      <c r="J24" t="s">
        <v>32</v>
      </c>
      <c r="K24" s="1"/>
      <c r="O24" t="str">
        <f t="shared" si="0"/>
        <v>"RECURRING_TEMPLATE","2026-01-01","Allowances","594","external","(C) Belfius_Mao","2-Saving","","","M","","",""</v>
      </c>
    </row>
    <row r="25" spans="1:15" x14ac:dyDescent="0.35">
      <c r="A25" t="s">
        <v>29</v>
      </c>
      <c r="B25" s="3" t="s">
        <v>68</v>
      </c>
      <c r="C25" t="s">
        <v>72</v>
      </c>
      <c r="D25">
        <v>50</v>
      </c>
      <c r="E25" t="s">
        <v>54</v>
      </c>
      <c r="F25" t="s">
        <v>45</v>
      </c>
      <c r="G25" t="s">
        <v>52</v>
      </c>
      <c r="J25" t="s">
        <v>32</v>
      </c>
      <c r="K25" s="1"/>
      <c r="O25" t="str">
        <f t="shared" si="0"/>
        <v>"RECURRING_TEMPLATE","2026-01-01","1-10th (Mao)","50","(C) CBC","(Ep) 1_10eme_Mao","2-Saving","","","M","","",""</v>
      </c>
    </row>
    <row r="26" spans="1:15" x14ac:dyDescent="0.35">
      <c r="A26" t="s">
        <v>29</v>
      </c>
      <c r="B26" s="3" t="s">
        <v>68</v>
      </c>
      <c r="C26" t="s">
        <v>58</v>
      </c>
      <c r="D26">
        <v>150</v>
      </c>
      <c r="E26" t="s">
        <v>54</v>
      </c>
      <c r="F26" t="s">
        <v>65</v>
      </c>
      <c r="G26" t="s">
        <v>52</v>
      </c>
      <c r="J26" t="s">
        <v>32</v>
      </c>
      <c r="K26" s="1"/>
      <c r="O26" t="str">
        <f t="shared" si="0"/>
        <v>"RECURRING_TEMPLATE","2026-01-01","ETF (Aos - Enih - Ael)","150","(C) CBC","(I) ETF_SAXO_ENFANTS","2-Saving","","","M","","",""</v>
      </c>
    </row>
    <row r="27" spans="1:15" x14ac:dyDescent="0.35">
      <c r="A27" t="s">
        <v>29</v>
      </c>
      <c r="B27" s="3" t="s">
        <v>68</v>
      </c>
      <c r="C27" t="s">
        <v>100</v>
      </c>
      <c r="D27">
        <v>1152</v>
      </c>
      <c r="E27" t="s">
        <v>54</v>
      </c>
      <c r="F27" t="s">
        <v>31</v>
      </c>
      <c r="G27" s="2" t="s">
        <v>92</v>
      </c>
      <c r="J27" t="s">
        <v>32</v>
      </c>
      <c r="K27" s="1"/>
      <c r="O27" t="str">
        <f t="shared" si="0"/>
        <v>"RECURRING_TEMPLATE","2026-01-01","CBC La Louviere","1152","(C) CBC","external","3-Depenses fixes","","","M","","",""</v>
      </c>
    </row>
    <row r="28" spans="1:15" x14ac:dyDescent="0.35">
      <c r="A28" t="s">
        <v>29</v>
      </c>
      <c r="B28" s="3" t="s">
        <v>68</v>
      </c>
      <c r="C28" t="s">
        <v>43</v>
      </c>
      <c r="D28">
        <v>60</v>
      </c>
      <c r="E28" t="s">
        <v>54</v>
      </c>
      <c r="F28" t="s">
        <v>31</v>
      </c>
      <c r="G28" s="2" t="s">
        <v>92</v>
      </c>
      <c r="J28" t="s">
        <v>32</v>
      </c>
      <c r="K28" s="1"/>
      <c r="O28" t="str">
        <f t="shared" si="0"/>
        <v>"RECURRING_TEMPLATE","2026-01-01","Assurance Solde Restant dû","60","(C) CBC","external","3-Depenses fixes","","","M","","",""</v>
      </c>
    </row>
    <row r="29" spans="1:15" x14ac:dyDescent="0.35">
      <c r="A29" t="s">
        <v>29</v>
      </c>
      <c r="B29" s="3" t="s">
        <v>68</v>
      </c>
      <c r="C29" t="s">
        <v>33</v>
      </c>
      <c r="D29">
        <v>478</v>
      </c>
      <c r="E29" t="s">
        <v>54</v>
      </c>
      <c r="F29" t="s">
        <v>31</v>
      </c>
      <c r="G29" s="2" t="s">
        <v>92</v>
      </c>
      <c r="J29" t="s">
        <v>32</v>
      </c>
      <c r="K29" s="1"/>
      <c r="O29" t="str">
        <f t="shared" si="0"/>
        <v>"RECURRING_TEMPLATE","2026-01-01","Dette 30K","478","(C) CBC","external","3-Depenses fixes","","","M","","",""</v>
      </c>
    </row>
    <row r="30" spans="1:15" x14ac:dyDescent="0.35">
      <c r="A30" t="s">
        <v>29</v>
      </c>
      <c r="B30" s="3" t="s">
        <v>68</v>
      </c>
      <c r="C30" t="s">
        <v>59</v>
      </c>
      <c r="D30">
        <v>380</v>
      </c>
      <c r="E30" t="s">
        <v>54</v>
      </c>
      <c r="F30" t="s">
        <v>31</v>
      </c>
      <c r="G30" s="2" t="s">
        <v>92</v>
      </c>
      <c r="J30" t="s">
        <v>32</v>
      </c>
      <c r="K30" s="1"/>
      <c r="O30" t="str">
        <f t="shared" si="0"/>
        <v>"RECURRING_TEMPLATE","2026-01-01","Engie","380","(C) CBC","external","3-Depenses fixes","","","M","","",""</v>
      </c>
    </row>
    <row r="31" spans="1:15" x14ac:dyDescent="0.35">
      <c r="A31" t="s">
        <v>29</v>
      </c>
      <c r="B31" s="3" t="s">
        <v>68</v>
      </c>
      <c r="C31" t="s">
        <v>60</v>
      </c>
      <c r="D31">
        <v>237</v>
      </c>
      <c r="E31" t="s">
        <v>54</v>
      </c>
      <c r="F31" t="s">
        <v>31</v>
      </c>
      <c r="G31" s="2" t="s">
        <v>92</v>
      </c>
      <c r="J31" t="s">
        <v>32</v>
      </c>
      <c r="K31" s="1"/>
      <c r="O31" t="str">
        <f t="shared" si="0"/>
        <v>"RECURRING_TEMPLATE","2026-01-01","Swde","237","(C) CBC","external","3-Depenses fixes","","","M","","",""</v>
      </c>
    </row>
    <row r="32" spans="1:15" x14ac:dyDescent="0.35">
      <c r="A32" t="s">
        <v>29</v>
      </c>
      <c r="B32" s="3" t="s">
        <v>68</v>
      </c>
      <c r="C32" t="s">
        <v>28</v>
      </c>
      <c r="D32">
        <v>400</v>
      </c>
      <c r="E32" t="s">
        <v>54</v>
      </c>
      <c r="F32" t="s">
        <v>31</v>
      </c>
      <c r="G32" s="2" t="s">
        <v>92</v>
      </c>
      <c r="J32" t="s">
        <v>32</v>
      </c>
      <c r="K32" s="1"/>
      <c r="O32" t="str">
        <f t="shared" si="0"/>
        <v>"RECURRING_TEMPLATE","2026-01-01","Alimentation","400","(C) CBC","external","3-Depenses fixes","","","M","","",""</v>
      </c>
    </row>
    <row r="33" spans="1:15" x14ac:dyDescent="0.35">
      <c r="A33" t="s">
        <v>29</v>
      </c>
      <c r="B33" s="3" t="s">
        <v>68</v>
      </c>
      <c r="C33" t="s">
        <v>101</v>
      </c>
      <c r="D33">
        <v>275</v>
      </c>
      <c r="E33" t="s">
        <v>55</v>
      </c>
      <c r="F33" t="s">
        <v>31</v>
      </c>
      <c r="G33" s="2" t="s">
        <v>92</v>
      </c>
      <c r="J33" t="s">
        <v>32</v>
      </c>
      <c r="K33" s="1"/>
      <c r="O33" t="str">
        <f t="shared" si="0"/>
        <v>"RECURRING_TEMPLATE","2026-01-01","Hygiene","275","(C) Belfius_Mao","external","3-Depenses fixes","","","M","","",""</v>
      </c>
    </row>
    <row r="34" spans="1:15" x14ac:dyDescent="0.35">
      <c r="A34" t="s">
        <v>29</v>
      </c>
      <c r="B34" s="3" t="s">
        <v>68</v>
      </c>
      <c r="C34" t="s">
        <v>35</v>
      </c>
      <c r="D34">
        <v>52</v>
      </c>
      <c r="E34" t="s">
        <v>54</v>
      </c>
      <c r="F34" t="s">
        <v>31</v>
      </c>
      <c r="G34" s="2" t="s">
        <v>92</v>
      </c>
      <c r="J34" t="s">
        <v>32</v>
      </c>
      <c r="K34" s="1"/>
      <c r="O34" t="str">
        <f t="shared" si="0"/>
        <v>"RECURRING_TEMPLATE","2026-01-01","Proximus","52","(C) CBC","external","3-Depenses fixes","","","M","","",""</v>
      </c>
    </row>
    <row r="35" spans="1:15" x14ac:dyDescent="0.35">
      <c r="A35" t="s">
        <v>29</v>
      </c>
      <c r="B35" s="3" t="s">
        <v>68</v>
      </c>
      <c r="C35" t="s">
        <v>77</v>
      </c>
      <c r="D35">
        <v>5</v>
      </c>
      <c r="E35" t="s">
        <v>54</v>
      </c>
      <c r="F35" t="s">
        <v>31</v>
      </c>
      <c r="G35" s="2" t="s">
        <v>92</v>
      </c>
      <c r="J35" t="s">
        <v>32</v>
      </c>
      <c r="K35" s="1"/>
      <c r="O35" t="str">
        <f t="shared" si="0"/>
        <v>"RECURRING_TEMPLATE","2026-01-01","Frais Bancaire BELFIUS (mao)","5","(C) CBC","external","3-Depenses fixes","","","M","","",""</v>
      </c>
    </row>
    <row r="36" spans="1:15" x14ac:dyDescent="0.35">
      <c r="A36" t="s">
        <v>29</v>
      </c>
      <c r="B36" s="3" t="s">
        <v>68</v>
      </c>
      <c r="C36" t="s">
        <v>78</v>
      </c>
      <c r="D36">
        <v>11</v>
      </c>
      <c r="E36" t="s">
        <v>54</v>
      </c>
      <c r="F36" t="s">
        <v>31</v>
      </c>
      <c r="G36" s="2" t="s">
        <v>92</v>
      </c>
      <c r="J36" t="s">
        <v>32</v>
      </c>
      <c r="K36" s="1"/>
      <c r="O36" t="str">
        <f t="shared" si="0"/>
        <v>"RECURRING_TEMPLATE","2026-01-01","Argent de poche (mao)","11","(C) CBC","external","3-Depenses fixes","","","M","","",""</v>
      </c>
    </row>
    <row r="37" spans="1:15" x14ac:dyDescent="0.35">
      <c r="A37" t="s">
        <v>29</v>
      </c>
      <c r="B37" s="3" t="s">
        <v>68</v>
      </c>
      <c r="C37" t="s">
        <v>30</v>
      </c>
      <c r="D37">
        <v>14</v>
      </c>
      <c r="E37" t="s">
        <v>54</v>
      </c>
      <c r="F37" t="s">
        <v>31</v>
      </c>
      <c r="G37" s="2" t="s">
        <v>92</v>
      </c>
      <c r="J37" t="s">
        <v>32</v>
      </c>
      <c r="K37" s="1"/>
      <c r="O37" t="str">
        <f t="shared" si="0"/>
        <v>"RECURRING_TEMPLATE","2026-01-01","Croix Rouges","14","(C) CBC","external","3-Depenses fixes","","","M","","",""</v>
      </c>
    </row>
    <row r="38" spans="1:15" x14ac:dyDescent="0.35">
      <c r="A38" t="s">
        <v>29</v>
      </c>
      <c r="B38" s="3" t="s">
        <v>68</v>
      </c>
      <c r="C38" t="s">
        <v>96</v>
      </c>
      <c r="D38">
        <v>15</v>
      </c>
      <c r="E38" t="s">
        <v>54</v>
      </c>
      <c r="F38" t="s">
        <v>31</v>
      </c>
      <c r="G38" s="2" t="s">
        <v>92</v>
      </c>
      <c r="J38" t="s">
        <v>32</v>
      </c>
      <c r="K38" s="1"/>
      <c r="O38" t="str">
        <f t="shared" si="0"/>
        <v>"RECURRING_TEMPLATE","2026-01-01","Provision Mutualia -  Sante (mao)","15","(C) CBC","external","3-Depenses fixes","","","M","","",""</v>
      </c>
    </row>
    <row r="39" spans="1:15" x14ac:dyDescent="0.35">
      <c r="A39" t="s">
        <v>29</v>
      </c>
      <c r="B39" s="3" t="s">
        <v>68</v>
      </c>
      <c r="C39" t="s">
        <v>42</v>
      </c>
      <c r="D39">
        <v>65</v>
      </c>
      <c r="E39" t="s">
        <v>55</v>
      </c>
      <c r="F39" t="s">
        <v>50</v>
      </c>
      <c r="G39" t="s">
        <v>94</v>
      </c>
      <c r="J39" t="s">
        <v>32</v>
      </c>
      <c r="K39" s="1"/>
      <c r="O39" t="str">
        <f t="shared" si="0"/>
        <v>"RECURRING_TEMPLATE","2026-01-01","Provision Assurance CBC - habitation / Familiale","65","(C) Belfius_Mao","(Pr) Depense_Courante_Sante_Ecoles","5- Charges differees","","","M","","",""</v>
      </c>
    </row>
    <row r="40" spans="1:15" x14ac:dyDescent="0.35">
      <c r="A40" t="s">
        <v>29</v>
      </c>
      <c r="B40" s="3" t="s">
        <v>68</v>
      </c>
      <c r="C40" t="s">
        <v>61</v>
      </c>
      <c r="D40">
        <v>125</v>
      </c>
      <c r="E40" t="s">
        <v>55</v>
      </c>
      <c r="F40" t="s">
        <v>50</v>
      </c>
      <c r="G40" t="s">
        <v>94</v>
      </c>
      <c r="J40" t="s">
        <v>32</v>
      </c>
      <c r="K40" s="1"/>
      <c r="O40" t="str">
        <f t="shared" si="0"/>
        <v>"RECURRING_TEMPLATE","2026-01-01","Provison Revenu Cadastrale","125","(C) Belfius_Mao","(Pr) Depense_Courante_Sante_Ecoles","5- Charges differees","","","M","","",""</v>
      </c>
    </row>
    <row r="41" spans="1:15" x14ac:dyDescent="0.35">
      <c r="A41" t="s">
        <v>29</v>
      </c>
      <c r="B41" s="3" t="s">
        <v>68</v>
      </c>
      <c r="C41" t="s">
        <v>36</v>
      </c>
      <c r="D41">
        <v>25</v>
      </c>
      <c r="E41" t="s">
        <v>55</v>
      </c>
      <c r="F41" t="s">
        <v>50</v>
      </c>
      <c r="G41" t="s">
        <v>94</v>
      </c>
      <c r="J41" t="s">
        <v>32</v>
      </c>
      <c r="K41" s="1"/>
      <c r="O41" t="str">
        <f t="shared" si="0"/>
        <v>"RECURRING_TEMPLATE","2026-01-01","Provision Taxes Communales","25","(C) Belfius_Mao","(Pr) Depense_Courante_Sante_Ecoles","5- Charges differees","","","M","","",""</v>
      </c>
    </row>
    <row r="42" spans="1:15" x14ac:dyDescent="0.35">
      <c r="A42" t="s">
        <v>29</v>
      </c>
      <c r="B42" s="3" t="s">
        <v>68</v>
      </c>
      <c r="C42" t="s">
        <v>90</v>
      </c>
      <c r="D42">
        <v>90</v>
      </c>
      <c r="E42" t="s">
        <v>55</v>
      </c>
      <c r="F42" t="s">
        <v>50</v>
      </c>
      <c r="G42" t="s">
        <v>94</v>
      </c>
      <c r="J42" t="s">
        <v>32</v>
      </c>
      <c r="K42" s="1"/>
      <c r="O42" t="str">
        <f t="shared" si="0"/>
        <v>"RECURRING_TEMPLATE","2026-01-01","Provision EP PENSION (Mao)","90","(C) Belfius_Mao","(Pr) Depense_Courante_Sante_Ecoles","5- Charges differees","","","M","","",""</v>
      </c>
    </row>
    <row r="43" spans="1:15" x14ac:dyDescent="0.35">
      <c r="A43" t="s">
        <v>29</v>
      </c>
      <c r="B43" s="3" t="s">
        <v>68</v>
      </c>
      <c r="C43" t="s">
        <v>91</v>
      </c>
      <c r="E43" t="s">
        <v>55</v>
      </c>
      <c r="F43" t="s">
        <v>50</v>
      </c>
      <c r="G43" t="s">
        <v>104</v>
      </c>
      <c r="J43" t="s">
        <v>32</v>
      </c>
      <c r="K43" s="1"/>
      <c r="O43" t="str">
        <f t="shared" si="0"/>
        <v>"RECURRING_TEMPLATE","2026-01-01","Provison Petites Vacances &amp; weekend (mao)","","(C) Belfius_Mao","(Pr) Depense_Courante_Sante_Ecoles","6-Bien-etre Programme","","","M","","",""</v>
      </c>
    </row>
    <row r="44" spans="1:15" x14ac:dyDescent="0.35">
      <c r="A44" t="s">
        <v>29</v>
      </c>
      <c r="B44" s="3" t="s">
        <v>68</v>
      </c>
      <c r="C44" t="s">
        <v>63</v>
      </c>
      <c r="D44">
        <v>50</v>
      </c>
      <c r="E44" t="s">
        <v>54</v>
      </c>
      <c r="F44" t="s">
        <v>31</v>
      </c>
      <c r="G44" t="s">
        <v>95</v>
      </c>
      <c r="J44" t="s">
        <v>32</v>
      </c>
      <c r="K44" s="1"/>
      <c r="O44" t="str">
        <f t="shared" si="0"/>
        <v>"RECURRING_TEMPLATE","2026-01-01","Provision Aide et Soutien familial","50","(C) CBC","external","8-Discretionnaire","","","M","","",""</v>
      </c>
    </row>
    <row r="45" spans="1:15" x14ac:dyDescent="0.35">
      <c r="A45" t="s">
        <v>29</v>
      </c>
      <c r="B45" s="3" t="s">
        <v>68</v>
      </c>
      <c r="C45" t="s">
        <v>39</v>
      </c>
      <c r="D45">
        <v>100</v>
      </c>
      <c r="E45" t="s">
        <v>54</v>
      </c>
      <c r="F45" t="s">
        <v>31</v>
      </c>
      <c r="G45" t="s">
        <v>95</v>
      </c>
      <c r="J45" t="s">
        <v>32</v>
      </c>
      <c r="K45" s="1"/>
      <c r="O45" t="str">
        <f t="shared" si="0"/>
        <v>"RECURRING_TEMPLATE","2026-01-01","LDD (lili)","100","(C) CBC","external","8-Discretionnaire","","","M","","",""</v>
      </c>
    </row>
    <row r="46" spans="1:15" x14ac:dyDescent="0.35">
      <c r="A46" t="s">
        <v>29</v>
      </c>
      <c r="B46" s="3" t="s">
        <v>68</v>
      </c>
      <c r="C46" t="s">
        <v>40</v>
      </c>
      <c r="D46">
        <v>10</v>
      </c>
      <c r="E46" t="s">
        <v>54</v>
      </c>
      <c r="F46" t="s">
        <v>31</v>
      </c>
      <c r="G46" t="s">
        <v>95</v>
      </c>
      <c r="J46" t="s">
        <v>32</v>
      </c>
      <c r="K46" s="1"/>
      <c r="O46" t="str">
        <f t="shared" si="0"/>
        <v>"RECURRING_TEMPLATE","2026-01-01","Frais divers (prixtel, ...)","10","(C) CBC","external","8-Discretionnaire","","","M","","",""</v>
      </c>
    </row>
    <row r="47" spans="1:15" x14ac:dyDescent="0.35">
      <c r="A47" t="s">
        <v>29</v>
      </c>
      <c r="B47" s="3" t="s">
        <v>68</v>
      </c>
      <c r="C47" t="s">
        <v>71</v>
      </c>
      <c r="D47">
        <v>1900</v>
      </c>
      <c r="E47" t="s">
        <v>31</v>
      </c>
      <c r="F47" t="s">
        <v>56</v>
      </c>
      <c r="G47" t="s">
        <v>51</v>
      </c>
      <c r="J47" t="s">
        <v>32</v>
      </c>
      <c r="O47" t="str">
        <f t="shared" si="0"/>
        <v>"RECURRING_TEMPLATE","2026-01-01","Salary (Fri)","1900","external","(C) Belfius_Fri","1-Revenue","","","M","","",""</v>
      </c>
    </row>
    <row r="48" spans="1:15" x14ac:dyDescent="0.35">
      <c r="A48" t="s">
        <v>29</v>
      </c>
      <c r="B48" s="3" t="s">
        <v>68</v>
      </c>
      <c r="C48" t="s">
        <v>76</v>
      </c>
      <c r="D48">
        <v>300</v>
      </c>
      <c r="E48" t="s">
        <v>56</v>
      </c>
      <c r="F48" t="s">
        <v>44</v>
      </c>
      <c r="G48" t="s">
        <v>52</v>
      </c>
      <c r="J48" t="s">
        <v>32</v>
      </c>
      <c r="O48" t="str">
        <f t="shared" si="0"/>
        <v>"RECURRING_TEMPLATE","2026-01-01","1-10th (Fri)","300","(C) Belfius_Fri","(Ep) 1_10eme_Fri","2-Saving","","","M","","",""</v>
      </c>
    </row>
    <row r="49" spans="1:15" x14ac:dyDescent="0.35">
      <c r="A49" t="s">
        <v>29</v>
      </c>
      <c r="B49" s="3" t="s">
        <v>68</v>
      </c>
      <c r="C49" t="s">
        <v>73</v>
      </c>
      <c r="D49">
        <v>100</v>
      </c>
      <c r="E49" t="s">
        <v>56</v>
      </c>
      <c r="F49" t="s">
        <v>46</v>
      </c>
      <c r="G49" t="s">
        <v>52</v>
      </c>
      <c r="J49" t="s">
        <v>32</v>
      </c>
      <c r="K49" s="1"/>
      <c r="O49" t="str">
        <f t="shared" si="0"/>
        <v>"RECURRING_TEMPLATE","2026-01-01","(Ep) Aos (Fri)","100","(C) Belfius_Fri","(Ep) Ael","2-Saving","","","M","","",""</v>
      </c>
    </row>
    <row r="50" spans="1:15" x14ac:dyDescent="0.35">
      <c r="A50" t="s">
        <v>29</v>
      </c>
      <c r="B50" s="3" t="s">
        <v>68</v>
      </c>
      <c r="C50" t="s">
        <v>74</v>
      </c>
      <c r="D50">
        <v>100</v>
      </c>
      <c r="E50" t="s">
        <v>56</v>
      </c>
      <c r="F50" t="s">
        <v>47</v>
      </c>
      <c r="G50" t="s">
        <v>52</v>
      </c>
      <c r="J50" t="s">
        <v>32</v>
      </c>
      <c r="K50" s="1"/>
      <c r="O50" t="str">
        <f t="shared" si="0"/>
        <v>"RECURRING_TEMPLATE","2026-01-01","(Ep) Enih (Fri)","100","(C) Belfius_Fri","(Ep) Aos","2-Saving","","","M","","",""</v>
      </c>
    </row>
    <row r="51" spans="1:15" x14ac:dyDescent="0.35">
      <c r="A51" t="s">
        <v>29</v>
      </c>
      <c r="B51" s="3" t="s">
        <v>68</v>
      </c>
      <c r="C51" t="s">
        <v>75</v>
      </c>
      <c r="D51">
        <v>100</v>
      </c>
      <c r="E51" t="s">
        <v>56</v>
      </c>
      <c r="F51" t="s">
        <v>48</v>
      </c>
      <c r="G51" t="s">
        <v>52</v>
      </c>
      <c r="J51" t="s">
        <v>32</v>
      </c>
      <c r="K51" s="1"/>
      <c r="O51" t="str">
        <f t="shared" si="0"/>
        <v>"RECURRING_TEMPLATE","2026-01-01","(Ep) Ael (Fri)","100","(C) Belfius_Fri","(Ep) Enih","2-Saving","","","M","","",""</v>
      </c>
    </row>
    <row r="52" spans="1:15" x14ac:dyDescent="0.35">
      <c r="A52" t="s">
        <v>29</v>
      </c>
      <c r="B52" s="3" t="s">
        <v>68</v>
      </c>
      <c r="C52" t="s">
        <v>79</v>
      </c>
      <c r="D52">
        <v>15</v>
      </c>
      <c r="E52" t="s">
        <v>56</v>
      </c>
      <c r="F52" t="s">
        <v>31</v>
      </c>
      <c r="G52" s="2" t="s">
        <v>92</v>
      </c>
      <c r="J52" t="s">
        <v>32</v>
      </c>
      <c r="O52" t="str">
        <f t="shared" si="0"/>
        <v>"RECURRING_TEMPLATE","2026-01-01","Frais Formation","15","(C) Belfius_Fri","external","3-Depenses fixes","","","M","","",""</v>
      </c>
    </row>
    <row r="53" spans="1:15" x14ac:dyDescent="0.35">
      <c r="A53" t="s">
        <v>29</v>
      </c>
      <c r="B53" s="3" t="s">
        <v>68</v>
      </c>
      <c r="C53" t="s">
        <v>88</v>
      </c>
      <c r="D53">
        <v>10</v>
      </c>
      <c r="E53" t="s">
        <v>56</v>
      </c>
      <c r="F53" t="s">
        <v>31</v>
      </c>
      <c r="G53" t="s">
        <v>92</v>
      </c>
      <c r="J53" t="s">
        <v>32</v>
      </c>
      <c r="O53" t="str">
        <f t="shared" si="0"/>
        <v>"RECURRING_TEMPLATE","2026-01-01","Frais Bancaire BELFIUS (Fri)","10","(C) Belfius_Fri","external","3-Depenses fixes","","","M","","",""</v>
      </c>
    </row>
    <row r="54" spans="1:15" x14ac:dyDescent="0.35">
      <c r="A54" t="s">
        <v>29</v>
      </c>
      <c r="B54" s="3" t="s">
        <v>68</v>
      </c>
      <c r="C54" t="s">
        <v>34</v>
      </c>
      <c r="D54">
        <v>200</v>
      </c>
      <c r="E54" t="s">
        <v>56</v>
      </c>
      <c r="F54" t="s">
        <v>31</v>
      </c>
      <c r="G54" t="s">
        <v>92</v>
      </c>
      <c r="J54" t="s">
        <v>32</v>
      </c>
      <c r="O54" t="str">
        <f t="shared" si="0"/>
        <v>"RECURRING_TEMPLATE","2026-01-01","Argent de poche","200","(C) Belfius_Fri","external","3-Depenses fixes","","","M","","",""</v>
      </c>
    </row>
    <row r="55" spans="1:15" x14ac:dyDescent="0.35">
      <c r="A55" t="s">
        <v>29</v>
      </c>
      <c r="B55" s="3" t="s">
        <v>68</v>
      </c>
      <c r="C55" t="s">
        <v>102</v>
      </c>
      <c r="D55">
        <v>100</v>
      </c>
      <c r="E55" t="s">
        <v>56</v>
      </c>
      <c r="F55" t="s">
        <v>89</v>
      </c>
      <c r="G55" t="s">
        <v>93</v>
      </c>
      <c r="J55" t="s">
        <v>32</v>
      </c>
      <c r="O55" t="str">
        <f t="shared" si="0"/>
        <v>"RECURRING_TEMPLATE","2026-01-01","Provision Aide menagere","100","(C) Belfius_Fri","(Pr) Depense_Courante_Sante_Ecole","4-Depenses variables","","","M","","",""</v>
      </c>
    </row>
    <row r="56" spans="1:15" x14ac:dyDescent="0.35">
      <c r="A56" t="s">
        <v>29</v>
      </c>
      <c r="B56" s="3" t="s">
        <v>68</v>
      </c>
      <c r="C56" t="s">
        <v>105</v>
      </c>
      <c r="D56">
        <v>200</v>
      </c>
      <c r="E56" t="s">
        <v>56</v>
      </c>
      <c r="F56" t="s">
        <v>89</v>
      </c>
      <c r="G56" t="s">
        <v>93</v>
      </c>
      <c r="J56" t="s">
        <v>32</v>
      </c>
      <c r="O56" t="str">
        <f t="shared" si="0"/>
        <v>"RECURRING_TEMPLATE","2026-01-01","Provision Garderie Activite Extra Scolaire + interets sur compte","200","(C) Belfius_Fri","(Pr) Depense_Courante_Sante_Ecole","4-Depenses variables","","","M","","",""</v>
      </c>
    </row>
    <row r="57" spans="1:15" x14ac:dyDescent="0.35">
      <c r="A57" t="s">
        <v>29</v>
      </c>
      <c r="B57" s="3" t="s">
        <v>68</v>
      </c>
      <c r="C57" t="s">
        <v>97</v>
      </c>
      <c r="D57">
        <v>70</v>
      </c>
      <c r="E57" t="s">
        <v>56</v>
      </c>
      <c r="F57" t="s">
        <v>89</v>
      </c>
      <c r="G57" t="s">
        <v>93</v>
      </c>
      <c r="J57" t="s">
        <v>32</v>
      </c>
      <c r="O57" t="str">
        <f t="shared" si="0"/>
        <v>"RECURRING_TEMPLATE","2026-01-01","Provision Visite medicale - soins - pharmacie","70","(C) Belfius_Fri","(Pr) Depense_Courante_Sante_Ecole","4-Depenses variables","","","M","","",""</v>
      </c>
    </row>
    <row r="58" spans="1:15" x14ac:dyDescent="0.35">
      <c r="A58" t="s">
        <v>29</v>
      </c>
      <c r="B58" s="3" t="s">
        <v>68</v>
      </c>
      <c r="C58" t="s">
        <v>80</v>
      </c>
      <c r="D58">
        <v>50</v>
      </c>
      <c r="E58" t="s">
        <v>56</v>
      </c>
      <c r="F58" t="s">
        <v>89</v>
      </c>
      <c r="G58" t="s">
        <v>93</v>
      </c>
      <c r="J58" t="s">
        <v>32</v>
      </c>
      <c r="O58" t="str">
        <f t="shared" si="0"/>
        <v>"RECURRING_TEMPLATE","2026-01-01","Provision  Sorties &amp; Resto","50","(C) Belfius_Fri","(Pr) Depense_Courante_Sante_Ecole","4-Depenses variables","","","M","","",""</v>
      </c>
    </row>
    <row r="59" spans="1:15" x14ac:dyDescent="0.35">
      <c r="A59" t="s">
        <v>29</v>
      </c>
      <c r="B59" s="3" t="s">
        <v>68</v>
      </c>
      <c r="C59" t="s">
        <v>98</v>
      </c>
      <c r="D59">
        <v>15</v>
      </c>
      <c r="E59" t="s">
        <v>56</v>
      </c>
      <c r="F59" t="s">
        <v>49</v>
      </c>
      <c r="G59" t="s">
        <v>94</v>
      </c>
      <c r="J59" t="s">
        <v>32</v>
      </c>
      <c r="O59" t="str">
        <f t="shared" si="0"/>
        <v>"RECURRING_TEMPLATE","2026-01-01","Provision Mutualia -  Sante","15","(C) Belfius_Fri","(Pr) Depense_Non_Courante","5- Charges differees","","","M","","",""</v>
      </c>
    </row>
    <row r="60" spans="1:15" x14ac:dyDescent="0.35">
      <c r="A60" t="s">
        <v>29</v>
      </c>
      <c r="B60" s="3" t="s">
        <v>68</v>
      </c>
      <c r="C60" t="s">
        <v>81</v>
      </c>
      <c r="D60">
        <v>160</v>
      </c>
      <c r="E60" t="s">
        <v>56</v>
      </c>
      <c r="F60" t="s">
        <v>49</v>
      </c>
      <c r="G60" t="s">
        <v>94</v>
      </c>
      <c r="J60" t="s">
        <v>32</v>
      </c>
      <c r="O60" t="str">
        <f t="shared" si="0"/>
        <v>"RECURRING_TEMPLATE","2026-01-01","Provision Yuzzu Assurance NISSAN","160","(C) Belfius_Fri","(Pr) Depense_Non_Courante","5- Charges differees","","","M","","",""</v>
      </c>
    </row>
    <row r="61" spans="1:15" x14ac:dyDescent="0.35">
      <c r="A61" t="s">
        <v>29</v>
      </c>
      <c r="B61" s="3" t="s">
        <v>68</v>
      </c>
      <c r="C61" t="s">
        <v>37</v>
      </c>
      <c r="D61">
        <v>90</v>
      </c>
      <c r="E61" t="s">
        <v>56</v>
      </c>
      <c r="F61" t="s">
        <v>49</v>
      </c>
      <c r="G61" t="s">
        <v>94</v>
      </c>
      <c r="J61" t="s">
        <v>32</v>
      </c>
      <c r="O61" t="str">
        <f t="shared" si="0"/>
        <v>"RECURRING_TEMPLATE","2026-01-01","Provision EP PENSION","90","(C) Belfius_Fri","(Pr) Depense_Non_Courante","5- Charges differees","","","M","","",""</v>
      </c>
    </row>
    <row r="62" spans="1:15" x14ac:dyDescent="0.35">
      <c r="A62" t="s">
        <v>29</v>
      </c>
      <c r="B62" s="3" t="s">
        <v>68</v>
      </c>
      <c r="C62" t="s">
        <v>82</v>
      </c>
      <c r="D62">
        <v>25</v>
      </c>
      <c r="E62" t="s">
        <v>56</v>
      </c>
      <c r="F62" t="s">
        <v>49</v>
      </c>
      <c r="G62" t="s">
        <v>94</v>
      </c>
      <c r="J62" t="s">
        <v>32</v>
      </c>
      <c r="O62" t="str">
        <f t="shared" si="0"/>
        <v>"RECURRING_TEMPLATE","2026-01-01","Provison Nissan CT + TC","25","(C) Belfius_Fri","(Pr) Depense_Non_Courante","5- Charges differees","","","M","","",""</v>
      </c>
    </row>
    <row r="63" spans="1:15" x14ac:dyDescent="0.35">
      <c r="A63" t="s">
        <v>29</v>
      </c>
      <c r="B63" s="3" t="s">
        <v>68</v>
      </c>
      <c r="C63" t="s">
        <v>83</v>
      </c>
      <c r="D63">
        <v>75</v>
      </c>
      <c r="E63" t="s">
        <v>56</v>
      </c>
      <c r="F63" t="s">
        <v>49</v>
      </c>
      <c r="G63" t="s">
        <v>104</v>
      </c>
      <c r="J63" t="s">
        <v>32</v>
      </c>
      <c r="O63" t="str">
        <f t="shared" si="0"/>
        <v>"RECURRING_TEMPLATE","2026-01-01","Provision USA 2026","75","(C) Belfius_Fri","(Pr) Depense_Non_Courante","6-Bien-etre Programme","","","M","","",""</v>
      </c>
    </row>
    <row r="64" spans="1:15" x14ac:dyDescent="0.35">
      <c r="A64" t="s">
        <v>29</v>
      </c>
      <c r="B64" s="3" t="s">
        <v>68</v>
      </c>
      <c r="C64" t="s">
        <v>62</v>
      </c>
      <c r="D64">
        <v>0</v>
      </c>
      <c r="E64" t="s">
        <v>56</v>
      </c>
      <c r="F64" t="s">
        <v>49</v>
      </c>
      <c r="G64" t="s">
        <v>104</v>
      </c>
      <c r="J64" t="s">
        <v>32</v>
      </c>
      <c r="O64" t="str">
        <f t="shared" si="0"/>
        <v>"RECURRING_TEMPLATE","2026-01-01","Provison Petites Vacances &amp; weekend","0","(C) Belfius_Fri","(Pr) Depense_Non_Courante","6-Bien-etre Programme","","","M","","",""</v>
      </c>
    </row>
    <row r="65" spans="1:15" x14ac:dyDescent="0.35">
      <c r="A65" t="s">
        <v>29</v>
      </c>
      <c r="B65" s="3" t="s">
        <v>68</v>
      </c>
      <c r="C65" t="s">
        <v>84</v>
      </c>
      <c r="D65">
        <v>0</v>
      </c>
      <c r="E65" t="s">
        <v>56</v>
      </c>
      <c r="F65" t="s">
        <v>49</v>
      </c>
      <c r="G65" t="s">
        <v>104</v>
      </c>
      <c r="J65" t="s">
        <v>32</v>
      </c>
      <c r="O65" t="str">
        <f t="shared" si="0"/>
        <v>"RECURRING_TEMPLATE","2026-01-01","Provison Noël","0","(C) Belfius_Fri","(Pr) Depense_Non_Courante","6-Bien-etre Programme","","","M","","",""</v>
      </c>
    </row>
    <row r="66" spans="1:15" x14ac:dyDescent="0.35">
      <c r="A66" t="s">
        <v>29</v>
      </c>
      <c r="B66" s="3" t="s">
        <v>68</v>
      </c>
      <c r="C66" t="s">
        <v>85</v>
      </c>
      <c r="D66">
        <v>50</v>
      </c>
      <c r="E66" t="s">
        <v>56</v>
      </c>
      <c r="F66" t="s">
        <v>49</v>
      </c>
      <c r="G66" t="s">
        <v>53</v>
      </c>
      <c r="J66" t="s">
        <v>32</v>
      </c>
      <c r="O66" t="str">
        <f t="shared" ref="O66:O73" si="1">""""&amp;A66&amp;""","""&amp;B66&amp;""","""&amp;C66&amp;""","""&amp;D66&amp;""","""&amp;E66&amp;""","""&amp;F66&amp;""","""&amp;G66&amp;""","""&amp;H66&amp;""","""&amp;I66&amp;""","""&amp;J66&amp;""","""&amp;K66&amp;""","""&amp;L66&amp;""","""&amp;M66&amp;""""</f>
        <v>"RECURRING_TEMPLATE","2026-01-01","Provison - Travaux Maison","50","(C) Belfius_Fri","(Pr) Depense_Non_Courante","7-Divers et hors budget","","","M","","",""</v>
      </c>
    </row>
    <row r="67" spans="1:15" x14ac:dyDescent="0.35">
      <c r="A67" t="s">
        <v>29</v>
      </c>
      <c r="B67" s="3" t="s">
        <v>68</v>
      </c>
      <c r="C67" t="s">
        <v>86</v>
      </c>
      <c r="D67">
        <v>15</v>
      </c>
      <c r="E67" t="s">
        <v>56</v>
      </c>
      <c r="F67" t="s">
        <v>49</v>
      </c>
      <c r="G67" t="s">
        <v>53</v>
      </c>
      <c r="J67" t="s">
        <v>32</v>
      </c>
      <c r="O67" t="str">
        <f t="shared" si="1"/>
        <v>"RECURRING_TEMPLATE","2026-01-01","Provision SWDE","15","(C) Belfius_Fri","(Pr) Depense_Non_Courante","7-Divers et hors budget","","","M","","",""</v>
      </c>
    </row>
    <row r="68" spans="1:15" x14ac:dyDescent="0.35">
      <c r="A68" t="s">
        <v>29</v>
      </c>
      <c r="B68" s="3" t="s">
        <v>68</v>
      </c>
      <c r="C68" t="s">
        <v>87</v>
      </c>
      <c r="D68">
        <v>10</v>
      </c>
      <c r="E68" t="s">
        <v>56</v>
      </c>
      <c r="F68" t="s">
        <v>49</v>
      </c>
      <c r="G68" t="s">
        <v>53</v>
      </c>
      <c r="J68" t="s">
        <v>32</v>
      </c>
      <c r="O68" t="str">
        <f t="shared" si="1"/>
        <v>"RECURRING_TEMPLATE","2026-01-01","Provision Engie","10","(C) Belfius_Fri","(Pr) Depense_Non_Courante","7-Divers et hors budget","","","M","","",""</v>
      </c>
    </row>
    <row r="69" spans="1:15" x14ac:dyDescent="0.35">
      <c r="A69" t="s">
        <v>29</v>
      </c>
      <c r="B69" s="3" t="s">
        <v>68</v>
      </c>
      <c r="C69" t="s">
        <v>99</v>
      </c>
      <c r="D69">
        <v>20</v>
      </c>
      <c r="E69" t="s">
        <v>56</v>
      </c>
      <c r="F69" t="s">
        <v>49</v>
      </c>
      <c r="G69" t="s">
        <v>53</v>
      </c>
      <c r="J69" t="s">
        <v>32</v>
      </c>
      <c r="O69" t="str">
        <f t="shared" si="1"/>
        <v>"RECURRING_TEMPLATE","2026-01-01","Provision Auto Reparations","20","(C) Belfius_Fri","(Pr) Depense_Non_Courante","7-Divers et hors budget","","","M","","",""</v>
      </c>
    </row>
    <row r="70" spans="1:15" x14ac:dyDescent="0.35">
      <c r="A70" t="s">
        <v>29</v>
      </c>
      <c r="B70" s="3" t="s">
        <v>68</v>
      </c>
      <c r="C70" t="s">
        <v>106</v>
      </c>
      <c r="D70">
        <v>15</v>
      </c>
      <c r="E70" t="s">
        <v>56</v>
      </c>
      <c r="F70" t="s">
        <v>49</v>
      </c>
      <c r="G70" t="s">
        <v>53</v>
      </c>
      <c r="J70" t="s">
        <v>32</v>
      </c>
      <c r="O70" t="str">
        <f t="shared" si="1"/>
        <v>"RECURRING_TEMPLATE","2026-01-01","Provison Interets &amp; Divers hors budgets","15","(C) Belfius_Fri","(Pr) Depense_Non_Courante","7-Divers et hors budget","","","M","","",""</v>
      </c>
    </row>
    <row r="71" spans="1:15" x14ac:dyDescent="0.35">
      <c r="A71" t="s">
        <v>29</v>
      </c>
      <c r="B71" s="3" t="s">
        <v>68</v>
      </c>
      <c r="C71" t="s">
        <v>41</v>
      </c>
      <c r="D71">
        <v>100</v>
      </c>
      <c r="E71" t="s">
        <v>56</v>
      </c>
      <c r="F71" t="s">
        <v>31</v>
      </c>
      <c r="G71" t="s">
        <v>95</v>
      </c>
      <c r="J71" t="s">
        <v>32</v>
      </c>
      <c r="O71" t="str">
        <f t="shared" si="1"/>
        <v>"RECURRING_TEMPLATE","2026-01-01","Provision Daddy","100","(C) Belfius_Fri","external","8-Discretionnaire","","","M","","",""</v>
      </c>
    </row>
    <row r="72" spans="1:15" x14ac:dyDescent="0.35">
      <c r="A72" t="s">
        <v>29</v>
      </c>
      <c r="B72" s="3" t="s">
        <v>68</v>
      </c>
      <c r="C72" t="s">
        <v>38</v>
      </c>
      <c r="D72">
        <v>30</v>
      </c>
      <c r="E72" t="s">
        <v>56</v>
      </c>
      <c r="F72" t="s">
        <v>31</v>
      </c>
      <c r="G72" t="s">
        <v>95</v>
      </c>
      <c r="J72" t="s">
        <v>32</v>
      </c>
      <c r="O72" t="str">
        <f t="shared" si="1"/>
        <v>"RECURRING_TEMPLATE","2026-01-01","Provison Tema","30","(C) Belfius_Fri","external","8-Discretionnaire","","","M","","",""</v>
      </c>
    </row>
    <row r="73" spans="1:15" x14ac:dyDescent="0.35">
      <c r="A73" t="s">
        <v>29</v>
      </c>
      <c r="B73" s="3" t="s">
        <v>68</v>
      </c>
      <c r="C73" t="s">
        <v>103</v>
      </c>
      <c r="D73">
        <v>50</v>
      </c>
      <c r="E73" t="s">
        <v>56</v>
      </c>
      <c r="F73" t="s">
        <v>31</v>
      </c>
      <c r="G73" t="s">
        <v>95</v>
      </c>
      <c r="J73" t="s">
        <v>32</v>
      </c>
      <c r="O73" t="str">
        <f t="shared" si="1"/>
        <v>"RECURRING_TEMPLATE","2026-01-01","Provision Hygiene-Tresse","50","(C) Belfius_Fri","external","8-Discretionnaire","","","M","","",""</v>
      </c>
    </row>
  </sheetData>
  <phoneticPr fontId="19" type="noConversion"/>
  <conditionalFormatting sqref="C1:C1048576">
    <cfRule type="duplicateValues" dxfId="12" priority="1"/>
  </conditionalFormatting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DDFC-40B6-4EAF-B56C-EBC626583CF3}">
  <dimension ref="A1:N53"/>
  <sheetViews>
    <sheetView tabSelected="1" topLeftCell="C22" workbookViewId="0">
      <selection sqref="A1:A1048576"/>
    </sheetView>
  </sheetViews>
  <sheetFormatPr defaultRowHeight="14.5" x14ac:dyDescent="0.35"/>
  <cols>
    <col min="1" max="1" width="20" bestFit="1" customWidth="1"/>
    <col min="2" max="2" width="10.08984375" bestFit="1" customWidth="1"/>
    <col min="3" max="3" width="29.90625" bestFit="1" customWidth="1"/>
    <col min="4" max="4" width="7.81640625" bestFit="1" customWidth="1"/>
    <col min="5" max="6" width="19.54296875" bestFit="1" customWidth="1"/>
    <col min="7" max="7" width="25.54296875" bestFit="1" customWidth="1"/>
    <col min="8" max="8" width="20.1796875" bestFit="1" customWidth="1"/>
    <col min="9" max="9" width="7.81640625" bestFit="1" customWidth="1"/>
    <col min="10" max="10" width="12.08984375" bestFit="1" customWidth="1"/>
    <col min="11" max="11" width="10.1796875" bestFit="1" customWidth="1"/>
    <col min="12" max="12" width="10.08984375" bestFit="1" customWidth="1"/>
    <col min="13" max="13" width="14" bestFit="1" customWidth="1"/>
    <col min="14" max="14" width="10.17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107</v>
      </c>
      <c r="N1" t="s">
        <v>108</v>
      </c>
    </row>
    <row r="2" spans="1:14" x14ac:dyDescent="0.35">
      <c r="A2" s="4" t="s">
        <v>12</v>
      </c>
      <c r="B2" s="1">
        <v>46113</v>
      </c>
      <c r="C2" s="4" t="s">
        <v>109</v>
      </c>
      <c r="D2">
        <v>0</v>
      </c>
      <c r="E2" s="4" t="s">
        <v>110</v>
      </c>
      <c r="F2" s="4" t="s">
        <v>110</v>
      </c>
      <c r="G2" s="4" t="s">
        <v>110</v>
      </c>
      <c r="H2" s="4" t="s">
        <v>110</v>
      </c>
      <c r="I2" s="4" t="s">
        <v>110</v>
      </c>
      <c r="J2" s="4" t="s">
        <v>111</v>
      </c>
      <c r="K2">
        <v>1</v>
      </c>
      <c r="L2" s="4" t="s">
        <v>110</v>
      </c>
      <c r="M2" s="4" t="s">
        <v>110</v>
      </c>
      <c r="N2" s="4" t="s">
        <v>110</v>
      </c>
    </row>
    <row r="3" spans="1:14" x14ac:dyDescent="0.35">
      <c r="A3" s="4" t="s">
        <v>12</v>
      </c>
      <c r="B3" s="1">
        <v>46113</v>
      </c>
      <c r="C3" s="4" t="s">
        <v>112</v>
      </c>
      <c r="D3">
        <v>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111</v>
      </c>
      <c r="K3">
        <v>0</v>
      </c>
      <c r="L3" s="4" t="s">
        <v>110</v>
      </c>
      <c r="M3" s="4" t="s">
        <v>110</v>
      </c>
      <c r="N3" s="4" t="s">
        <v>110</v>
      </c>
    </row>
    <row r="4" spans="1:14" x14ac:dyDescent="0.35">
      <c r="A4" s="4" t="s">
        <v>12</v>
      </c>
      <c r="B4" s="1">
        <v>46113</v>
      </c>
      <c r="C4" s="4" t="s">
        <v>113</v>
      </c>
      <c r="D4">
        <v>0</v>
      </c>
      <c r="E4" s="4" t="s">
        <v>110</v>
      </c>
      <c r="F4" s="4" t="s">
        <v>110</v>
      </c>
      <c r="G4" s="4" t="s">
        <v>110</v>
      </c>
      <c r="H4" s="4" t="s">
        <v>110</v>
      </c>
      <c r="I4" s="4" t="s">
        <v>110</v>
      </c>
      <c r="J4" s="4" t="s">
        <v>114</v>
      </c>
      <c r="K4">
        <v>0</v>
      </c>
      <c r="L4" s="4" t="s">
        <v>110</v>
      </c>
      <c r="M4" s="4" t="s">
        <v>110</v>
      </c>
      <c r="N4" s="4" t="s">
        <v>110</v>
      </c>
    </row>
    <row r="5" spans="1:14" x14ac:dyDescent="0.35">
      <c r="A5" s="4" t="s">
        <v>13</v>
      </c>
      <c r="B5" s="1"/>
      <c r="C5" s="4" t="s">
        <v>115</v>
      </c>
      <c r="E5" s="4" t="s">
        <v>110</v>
      </c>
      <c r="F5" s="4" t="s">
        <v>110</v>
      </c>
      <c r="G5" s="4" t="s">
        <v>110</v>
      </c>
      <c r="H5" s="4" t="s">
        <v>16</v>
      </c>
      <c r="I5" s="4" t="s">
        <v>17</v>
      </c>
      <c r="J5" s="4" t="s">
        <v>110</v>
      </c>
      <c r="L5" s="4" t="s">
        <v>110</v>
      </c>
      <c r="M5" s="4" t="s">
        <v>110</v>
      </c>
      <c r="N5" s="4" t="s">
        <v>116</v>
      </c>
    </row>
    <row r="6" spans="1:14" x14ac:dyDescent="0.35">
      <c r="A6" s="4" t="s">
        <v>13</v>
      </c>
      <c r="B6" s="1"/>
      <c r="C6" s="4" t="s">
        <v>117</v>
      </c>
      <c r="E6" s="4" t="s">
        <v>110</v>
      </c>
      <c r="F6" s="4" t="s">
        <v>110</v>
      </c>
      <c r="G6" s="4" t="s">
        <v>110</v>
      </c>
      <c r="H6" s="4" t="s">
        <v>118</v>
      </c>
      <c r="I6" s="4" t="s">
        <v>20</v>
      </c>
      <c r="J6" s="4" t="s">
        <v>110</v>
      </c>
      <c r="L6" s="4" t="s">
        <v>110</v>
      </c>
      <c r="M6" s="4" t="s">
        <v>110</v>
      </c>
      <c r="N6" s="4" t="s">
        <v>119</v>
      </c>
    </row>
    <row r="7" spans="1:14" x14ac:dyDescent="0.35">
      <c r="A7" s="4" t="s">
        <v>13</v>
      </c>
      <c r="B7" s="1"/>
      <c r="C7" s="4" t="s">
        <v>120</v>
      </c>
      <c r="E7" s="4" t="s">
        <v>110</v>
      </c>
      <c r="F7" s="4" t="s">
        <v>110</v>
      </c>
      <c r="G7" s="4" t="s">
        <v>110</v>
      </c>
      <c r="H7" s="4" t="s">
        <v>121</v>
      </c>
      <c r="I7" s="4" t="s">
        <v>122</v>
      </c>
      <c r="J7" s="4" t="s">
        <v>110</v>
      </c>
      <c r="L7" s="4" t="s">
        <v>110</v>
      </c>
      <c r="M7" s="4" t="s">
        <v>110</v>
      </c>
      <c r="N7" s="4" t="s">
        <v>123</v>
      </c>
    </row>
    <row r="8" spans="1:14" x14ac:dyDescent="0.35">
      <c r="A8" s="4" t="s">
        <v>13</v>
      </c>
      <c r="B8" s="1"/>
      <c r="C8" s="4" t="s">
        <v>124</v>
      </c>
      <c r="E8" s="4" t="s">
        <v>110</v>
      </c>
      <c r="F8" s="4" t="s">
        <v>110</v>
      </c>
      <c r="G8" s="4" t="s">
        <v>110</v>
      </c>
      <c r="H8" s="4" t="s">
        <v>23</v>
      </c>
      <c r="I8" s="4" t="s">
        <v>125</v>
      </c>
      <c r="J8" s="4" t="s">
        <v>110</v>
      </c>
      <c r="L8" s="4" t="s">
        <v>110</v>
      </c>
      <c r="M8" s="4" t="s">
        <v>110</v>
      </c>
      <c r="N8" s="4" t="s">
        <v>126</v>
      </c>
    </row>
    <row r="9" spans="1:14" x14ac:dyDescent="0.35">
      <c r="A9" s="4" t="s">
        <v>13</v>
      </c>
      <c r="B9" s="1"/>
      <c r="C9" s="4" t="s">
        <v>127</v>
      </c>
      <c r="E9" s="4" t="s">
        <v>110</v>
      </c>
      <c r="F9" s="4" t="s">
        <v>110</v>
      </c>
      <c r="G9" s="4" t="s">
        <v>110</v>
      </c>
      <c r="H9" s="4" t="s">
        <v>25</v>
      </c>
      <c r="I9" s="4" t="s">
        <v>122</v>
      </c>
      <c r="J9" s="4" t="s">
        <v>110</v>
      </c>
      <c r="L9" s="4" t="s">
        <v>110</v>
      </c>
      <c r="M9" s="4" t="s">
        <v>110</v>
      </c>
      <c r="N9" s="4" t="s">
        <v>119</v>
      </c>
    </row>
    <row r="10" spans="1:14" x14ac:dyDescent="0.35">
      <c r="A10" s="4" t="s">
        <v>13</v>
      </c>
      <c r="B10" s="1"/>
      <c r="C10" s="4" t="s">
        <v>128</v>
      </c>
      <c r="E10" s="4" t="s">
        <v>110</v>
      </c>
      <c r="F10" s="4" t="s">
        <v>110</v>
      </c>
      <c r="G10" s="4" t="s">
        <v>110</v>
      </c>
      <c r="H10" s="4" t="s">
        <v>129</v>
      </c>
      <c r="I10" s="4" t="s">
        <v>24</v>
      </c>
      <c r="J10" s="4" t="s">
        <v>110</v>
      </c>
      <c r="L10" s="4" t="s">
        <v>110</v>
      </c>
      <c r="M10" s="4" t="s">
        <v>110</v>
      </c>
      <c r="N10" s="4" t="s">
        <v>119</v>
      </c>
    </row>
    <row r="11" spans="1:14" x14ac:dyDescent="0.35">
      <c r="A11" s="4" t="s">
        <v>13</v>
      </c>
      <c r="B11" s="1"/>
      <c r="C11" s="4" t="s">
        <v>130</v>
      </c>
      <c r="E11" s="4" t="s">
        <v>110</v>
      </c>
      <c r="F11" s="4" t="s">
        <v>110</v>
      </c>
      <c r="G11" s="4" t="s">
        <v>110</v>
      </c>
      <c r="H11" s="4" t="s">
        <v>131</v>
      </c>
      <c r="I11" s="4" t="s">
        <v>132</v>
      </c>
      <c r="J11" s="4" t="s">
        <v>110</v>
      </c>
      <c r="L11" s="4" t="s">
        <v>110</v>
      </c>
      <c r="M11" s="4" t="s">
        <v>110</v>
      </c>
      <c r="N11" s="4" t="s">
        <v>133</v>
      </c>
    </row>
    <row r="12" spans="1:14" x14ac:dyDescent="0.35">
      <c r="A12" s="4" t="s">
        <v>13</v>
      </c>
      <c r="B12" s="1"/>
      <c r="C12" s="4" t="s">
        <v>134</v>
      </c>
      <c r="E12" s="4" t="s">
        <v>110</v>
      </c>
      <c r="F12" s="4" t="s">
        <v>110</v>
      </c>
      <c r="G12" s="4" t="s">
        <v>110</v>
      </c>
      <c r="H12" s="4" t="s">
        <v>26</v>
      </c>
      <c r="I12" s="4" t="s">
        <v>27</v>
      </c>
      <c r="J12" s="4" t="s">
        <v>110</v>
      </c>
      <c r="L12" s="4" t="s">
        <v>110</v>
      </c>
      <c r="M12" s="4" t="s">
        <v>110</v>
      </c>
      <c r="N12" s="4" t="s">
        <v>126</v>
      </c>
    </row>
    <row r="13" spans="1:14" x14ac:dyDescent="0.35">
      <c r="A13" s="4" t="s">
        <v>13</v>
      </c>
      <c r="B13" s="1"/>
      <c r="C13" s="4" t="s">
        <v>135</v>
      </c>
      <c r="E13" s="4" t="s">
        <v>110</v>
      </c>
      <c r="F13" s="4" t="s">
        <v>110</v>
      </c>
      <c r="G13" s="4" t="s">
        <v>110</v>
      </c>
      <c r="H13" s="4" t="s">
        <v>21</v>
      </c>
      <c r="I13" s="4" t="s">
        <v>22</v>
      </c>
      <c r="J13" s="4" t="s">
        <v>110</v>
      </c>
      <c r="L13" s="4" t="s">
        <v>110</v>
      </c>
      <c r="M13" s="4" t="s">
        <v>110</v>
      </c>
      <c r="N13" s="4" t="s">
        <v>119</v>
      </c>
    </row>
    <row r="14" spans="1:14" x14ac:dyDescent="0.35">
      <c r="A14" s="4" t="s">
        <v>13</v>
      </c>
      <c r="B14" s="1"/>
      <c r="C14" s="4" t="s">
        <v>136</v>
      </c>
      <c r="E14" s="4" t="s">
        <v>110</v>
      </c>
      <c r="F14" s="4" t="s">
        <v>110</v>
      </c>
      <c r="G14" s="4" t="s">
        <v>110</v>
      </c>
      <c r="H14" s="4" t="s">
        <v>14</v>
      </c>
      <c r="I14" s="4" t="s">
        <v>15</v>
      </c>
      <c r="J14" s="4" t="s">
        <v>110</v>
      </c>
      <c r="L14" s="4" t="s">
        <v>110</v>
      </c>
      <c r="M14" s="4" t="s">
        <v>110</v>
      </c>
      <c r="N14" s="4" t="s">
        <v>133</v>
      </c>
    </row>
    <row r="15" spans="1:14" x14ac:dyDescent="0.35">
      <c r="A15" s="4" t="s">
        <v>13</v>
      </c>
      <c r="B15" s="1"/>
      <c r="C15" s="4" t="s">
        <v>137</v>
      </c>
      <c r="E15" s="4" t="s">
        <v>110</v>
      </c>
      <c r="F15" s="4" t="s">
        <v>110</v>
      </c>
      <c r="G15" s="4" t="s">
        <v>110</v>
      </c>
      <c r="H15" s="4" t="s">
        <v>138</v>
      </c>
      <c r="I15" s="4" t="s">
        <v>17</v>
      </c>
      <c r="J15" s="4" t="s">
        <v>110</v>
      </c>
      <c r="L15" s="4" t="s">
        <v>110</v>
      </c>
      <c r="M15" s="4" t="s">
        <v>110</v>
      </c>
      <c r="N15" s="4" t="s">
        <v>119</v>
      </c>
    </row>
    <row r="16" spans="1:14" x14ac:dyDescent="0.35">
      <c r="A16" s="4" t="s">
        <v>13</v>
      </c>
      <c r="B16" s="1"/>
      <c r="C16" s="4" t="s">
        <v>139</v>
      </c>
      <c r="E16" s="4" t="s">
        <v>110</v>
      </c>
      <c r="F16" s="4" t="s">
        <v>110</v>
      </c>
      <c r="G16" s="4" t="s">
        <v>110</v>
      </c>
      <c r="H16" s="4" t="s">
        <v>140</v>
      </c>
      <c r="I16" s="4" t="s">
        <v>141</v>
      </c>
      <c r="J16" s="4" t="s">
        <v>110</v>
      </c>
      <c r="L16" s="4" t="s">
        <v>110</v>
      </c>
      <c r="M16" s="4" t="s">
        <v>110</v>
      </c>
      <c r="N16" s="4" t="s">
        <v>126</v>
      </c>
    </row>
    <row r="17" spans="1:14" x14ac:dyDescent="0.35">
      <c r="A17" s="4" t="s">
        <v>13</v>
      </c>
      <c r="B17" s="1"/>
      <c r="C17" s="4" t="s">
        <v>142</v>
      </c>
      <c r="E17" s="4" t="s">
        <v>110</v>
      </c>
      <c r="F17" s="4" t="s">
        <v>110</v>
      </c>
      <c r="G17" s="4" t="s">
        <v>110</v>
      </c>
      <c r="H17" s="4" t="s">
        <v>143</v>
      </c>
      <c r="I17" s="4" t="s">
        <v>144</v>
      </c>
      <c r="J17" s="4" t="s">
        <v>110</v>
      </c>
      <c r="L17" s="4" t="s">
        <v>110</v>
      </c>
      <c r="M17" s="4" t="s">
        <v>110</v>
      </c>
      <c r="N17" s="4" t="s">
        <v>126</v>
      </c>
    </row>
    <row r="18" spans="1:14" x14ac:dyDescent="0.35">
      <c r="A18" s="4" t="s">
        <v>13</v>
      </c>
      <c r="B18" s="1"/>
      <c r="C18" s="4" t="s">
        <v>145</v>
      </c>
      <c r="E18" s="4" t="s">
        <v>110</v>
      </c>
      <c r="F18" s="4" t="s">
        <v>110</v>
      </c>
      <c r="G18" s="4" t="s">
        <v>110</v>
      </c>
      <c r="H18" s="4" t="s">
        <v>121</v>
      </c>
      <c r="I18" s="4" t="s">
        <v>125</v>
      </c>
      <c r="J18" s="4" t="s">
        <v>110</v>
      </c>
      <c r="L18" s="4" t="s">
        <v>110</v>
      </c>
      <c r="M18" s="4" t="s">
        <v>110</v>
      </c>
      <c r="N18" s="4" t="s">
        <v>123</v>
      </c>
    </row>
    <row r="19" spans="1:14" x14ac:dyDescent="0.35">
      <c r="A19" s="4" t="s">
        <v>13</v>
      </c>
      <c r="B19" s="1"/>
      <c r="C19" s="4" t="s">
        <v>146</v>
      </c>
      <c r="E19" s="4" t="s">
        <v>110</v>
      </c>
      <c r="F19" s="4" t="s">
        <v>110</v>
      </c>
      <c r="G19" s="4" t="s">
        <v>110</v>
      </c>
      <c r="H19" s="4" t="s">
        <v>147</v>
      </c>
      <c r="I19" s="4" t="s">
        <v>148</v>
      </c>
      <c r="J19" s="4" t="s">
        <v>110</v>
      </c>
      <c r="L19" s="4" t="s">
        <v>110</v>
      </c>
      <c r="M19" s="4" t="s">
        <v>110</v>
      </c>
      <c r="N19" s="4" t="s">
        <v>133</v>
      </c>
    </row>
    <row r="20" spans="1:14" x14ac:dyDescent="0.35">
      <c r="A20" s="4" t="s">
        <v>13</v>
      </c>
      <c r="B20" s="1"/>
      <c r="C20" s="4" t="s">
        <v>149</v>
      </c>
      <c r="E20" s="4" t="s">
        <v>110</v>
      </c>
      <c r="F20" s="4" t="s">
        <v>110</v>
      </c>
      <c r="G20" s="4" t="s">
        <v>110</v>
      </c>
      <c r="H20" s="4" t="s">
        <v>150</v>
      </c>
      <c r="I20" s="4" t="s">
        <v>122</v>
      </c>
      <c r="J20" s="4" t="s">
        <v>110</v>
      </c>
      <c r="L20" s="4" t="s">
        <v>110</v>
      </c>
      <c r="M20" s="4" t="s">
        <v>110</v>
      </c>
      <c r="N20" s="4" t="s">
        <v>133</v>
      </c>
    </row>
    <row r="21" spans="1:14" x14ac:dyDescent="0.35">
      <c r="A21" s="4" t="s">
        <v>13</v>
      </c>
      <c r="B21" s="1"/>
      <c r="C21" s="4" t="s">
        <v>151</v>
      </c>
      <c r="E21" s="4" t="s">
        <v>110</v>
      </c>
      <c r="F21" s="4" t="s">
        <v>110</v>
      </c>
      <c r="G21" s="4" t="s">
        <v>110</v>
      </c>
      <c r="H21" s="4" t="s">
        <v>16</v>
      </c>
      <c r="I21" s="4" t="s">
        <v>152</v>
      </c>
      <c r="J21" s="4" t="s">
        <v>110</v>
      </c>
      <c r="L21" s="4" t="s">
        <v>110</v>
      </c>
      <c r="M21" s="4" t="s">
        <v>110</v>
      </c>
      <c r="N21" s="4" t="s">
        <v>116</v>
      </c>
    </row>
    <row r="22" spans="1:14" x14ac:dyDescent="0.35">
      <c r="A22" s="4" t="s">
        <v>13</v>
      </c>
      <c r="B22" s="1"/>
      <c r="C22" s="4" t="s">
        <v>153</v>
      </c>
      <c r="E22" s="4" t="s">
        <v>110</v>
      </c>
      <c r="F22" s="4" t="s">
        <v>110</v>
      </c>
      <c r="G22" s="4" t="s">
        <v>110</v>
      </c>
      <c r="H22" s="4" t="s">
        <v>154</v>
      </c>
      <c r="I22" s="4" t="s">
        <v>24</v>
      </c>
      <c r="J22" s="4" t="s">
        <v>110</v>
      </c>
      <c r="L22" s="4" t="s">
        <v>110</v>
      </c>
      <c r="M22" s="4" t="s">
        <v>110</v>
      </c>
      <c r="N22" s="4" t="s">
        <v>119</v>
      </c>
    </row>
    <row r="23" spans="1:14" x14ac:dyDescent="0.35">
      <c r="A23" s="4" t="s">
        <v>13</v>
      </c>
      <c r="B23" s="1"/>
      <c r="C23" s="4" t="s">
        <v>155</v>
      </c>
      <c r="E23" s="4" t="s">
        <v>110</v>
      </c>
      <c r="F23" s="4" t="s">
        <v>110</v>
      </c>
      <c r="G23" s="4" t="s">
        <v>110</v>
      </c>
      <c r="H23" s="4" t="s">
        <v>156</v>
      </c>
      <c r="I23" s="4" t="s">
        <v>157</v>
      </c>
      <c r="J23" s="4" t="s">
        <v>110</v>
      </c>
      <c r="L23" s="4" t="s">
        <v>110</v>
      </c>
      <c r="M23" s="4" t="s">
        <v>110</v>
      </c>
      <c r="N23" s="4" t="s">
        <v>119</v>
      </c>
    </row>
    <row r="24" spans="1:14" x14ac:dyDescent="0.35">
      <c r="A24" s="4" t="s">
        <v>29</v>
      </c>
      <c r="B24" s="1">
        <v>46117</v>
      </c>
      <c r="C24" s="4" t="s">
        <v>158</v>
      </c>
      <c r="D24">
        <v>600</v>
      </c>
      <c r="E24" s="4" t="s">
        <v>112</v>
      </c>
      <c r="F24" s="4" t="s">
        <v>31</v>
      </c>
      <c r="G24" s="4" t="s">
        <v>139</v>
      </c>
      <c r="H24" s="4" t="s">
        <v>110</v>
      </c>
      <c r="I24" s="4" t="s">
        <v>110</v>
      </c>
      <c r="J24" s="4" t="s">
        <v>32</v>
      </c>
      <c r="L24" s="4" t="s">
        <v>110</v>
      </c>
      <c r="M24" s="4" t="s">
        <v>110</v>
      </c>
      <c r="N24" s="4" t="s">
        <v>110</v>
      </c>
    </row>
    <row r="25" spans="1:14" x14ac:dyDescent="0.35">
      <c r="A25" s="4" t="s">
        <v>29</v>
      </c>
      <c r="B25" s="1">
        <v>46122</v>
      </c>
      <c r="C25" s="4" t="s">
        <v>159</v>
      </c>
      <c r="D25">
        <v>320</v>
      </c>
      <c r="E25" s="4" t="s">
        <v>112</v>
      </c>
      <c r="F25" s="4" t="s">
        <v>31</v>
      </c>
      <c r="G25" s="4" t="s">
        <v>155</v>
      </c>
      <c r="H25" s="4" t="s">
        <v>110</v>
      </c>
      <c r="I25" s="4" t="s">
        <v>110</v>
      </c>
      <c r="J25" s="4" t="s">
        <v>32</v>
      </c>
      <c r="L25" s="4" t="s">
        <v>110</v>
      </c>
      <c r="M25" s="4" t="s">
        <v>110</v>
      </c>
      <c r="N25" s="4" t="s">
        <v>110</v>
      </c>
    </row>
    <row r="26" spans="1:14" x14ac:dyDescent="0.35">
      <c r="A26" s="4" t="s">
        <v>29</v>
      </c>
      <c r="B26" s="1">
        <v>46127</v>
      </c>
      <c r="C26" s="4" t="s">
        <v>160</v>
      </c>
      <c r="D26">
        <v>125</v>
      </c>
      <c r="E26" s="4" t="s">
        <v>31</v>
      </c>
      <c r="F26" s="4" t="s">
        <v>109</v>
      </c>
      <c r="G26" s="4" t="s">
        <v>130</v>
      </c>
      <c r="H26" s="4" t="s">
        <v>110</v>
      </c>
      <c r="I26" s="4" t="s">
        <v>110</v>
      </c>
      <c r="J26" s="4" t="s">
        <v>32</v>
      </c>
      <c r="L26" s="4" t="s">
        <v>110</v>
      </c>
      <c r="M26" s="4" t="s">
        <v>110</v>
      </c>
      <c r="N26" s="4" t="s">
        <v>110</v>
      </c>
    </row>
    <row r="27" spans="1:14" x14ac:dyDescent="0.35">
      <c r="A27" s="4" t="s">
        <v>29</v>
      </c>
      <c r="B27" s="1">
        <v>46127</v>
      </c>
      <c r="C27" s="4" t="s">
        <v>161</v>
      </c>
      <c r="D27">
        <v>280</v>
      </c>
      <c r="E27" s="4" t="s">
        <v>112</v>
      </c>
      <c r="F27" s="4" t="s">
        <v>31</v>
      </c>
      <c r="G27" s="4" t="s">
        <v>134</v>
      </c>
      <c r="H27" s="4" t="s">
        <v>110</v>
      </c>
      <c r="I27" s="4" t="s">
        <v>110</v>
      </c>
      <c r="J27" s="4" t="s">
        <v>32</v>
      </c>
      <c r="L27" s="4" t="s">
        <v>110</v>
      </c>
      <c r="M27" s="4" t="s">
        <v>110</v>
      </c>
      <c r="N27" s="4" t="s">
        <v>110</v>
      </c>
    </row>
    <row r="28" spans="1:14" x14ac:dyDescent="0.35">
      <c r="A28" s="4" t="s">
        <v>29</v>
      </c>
      <c r="B28" s="1">
        <v>46114</v>
      </c>
      <c r="C28" s="4" t="s">
        <v>162</v>
      </c>
      <c r="D28">
        <v>1250</v>
      </c>
      <c r="E28" s="4" t="s">
        <v>112</v>
      </c>
      <c r="F28" s="4" t="s">
        <v>31</v>
      </c>
      <c r="G28" s="4" t="s">
        <v>139</v>
      </c>
      <c r="H28" s="4" t="s">
        <v>110</v>
      </c>
      <c r="I28" s="4" t="s">
        <v>110</v>
      </c>
      <c r="J28" s="4" t="s">
        <v>32</v>
      </c>
      <c r="L28" s="4" t="s">
        <v>110</v>
      </c>
      <c r="M28" s="4" t="s">
        <v>110</v>
      </c>
      <c r="N28" s="4" t="s">
        <v>110</v>
      </c>
    </row>
    <row r="29" spans="1:14" x14ac:dyDescent="0.35">
      <c r="A29" s="4" t="s">
        <v>29</v>
      </c>
      <c r="B29" s="1">
        <v>46137</v>
      </c>
      <c r="C29" s="4" t="s">
        <v>163</v>
      </c>
      <c r="D29">
        <v>145</v>
      </c>
      <c r="E29" s="4" t="s">
        <v>112</v>
      </c>
      <c r="F29" s="4" t="s">
        <v>31</v>
      </c>
      <c r="G29" s="4" t="s">
        <v>142</v>
      </c>
      <c r="H29" s="4" t="s">
        <v>110</v>
      </c>
      <c r="I29" s="4" t="s">
        <v>110</v>
      </c>
      <c r="J29" s="4" t="s">
        <v>32</v>
      </c>
      <c r="L29" s="4" t="s">
        <v>110</v>
      </c>
      <c r="M29" s="4" t="s">
        <v>110</v>
      </c>
      <c r="N29" s="4" t="s">
        <v>110</v>
      </c>
    </row>
    <row r="30" spans="1:14" x14ac:dyDescent="0.35">
      <c r="A30" s="4" t="s">
        <v>29</v>
      </c>
      <c r="B30" s="1">
        <v>46140</v>
      </c>
      <c r="C30" s="4" t="s">
        <v>164</v>
      </c>
      <c r="D30">
        <v>100</v>
      </c>
      <c r="E30" s="4" t="s">
        <v>112</v>
      </c>
      <c r="F30" s="4" t="s">
        <v>31</v>
      </c>
      <c r="G30" s="4" t="s">
        <v>142</v>
      </c>
      <c r="H30" s="4" t="s">
        <v>110</v>
      </c>
      <c r="I30" s="4" t="s">
        <v>110</v>
      </c>
      <c r="J30" s="4" t="s">
        <v>32</v>
      </c>
      <c r="L30" s="4" t="s">
        <v>110</v>
      </c>
      <c r="M30" s="4" t="s">
        <v>110</v>
      </c>
      <c r="N30" s="4" t="s">
        <v>110</v>
      </c>
    </row>
    <row r="31" spans="1:14" x14ac:dyDescent="0.35">
      <c r="A31" s="4" t="s">
        <v>29</v>
      </c>
      <c r="B31" s="1">
        <v>46114</v>
      </c>
      <c r="C31" s="4" t="s">
        <v>165</v>
      </c>
      <c r="D31">
        <v>500</v>
      </c>
      <c r="E31" s="4" t="s">
        <v>112</v>
      </c>
      <c r="F31" s="4" t="s">
        <v>113</v>
      </c>
      <c r="G31" s="4" t="s">
        <v>151</v>
      </c>
      <c r="H31" s="4" t="s">
        <v>110</v>
      </c>
      <c r="I31" s="4" t="s">
        <v>110</v>
      </c>
      <c r="J31" s="4" t="s">
        <v>32</v>
      </c>
      <c r="L31" s="4" t="s">
        <v>110</v>
      </c>
      <c r="M31" s="4" t="s">
        <v>110</v>
      </c>
      <c r="N31" s="4" t="s">
        <v>110</v>
      </c>
    </row>
    <row r="32" spans="1:14" x14ac:dyDescent="0.35">
      <c r="A32" s="4" t="s">
        <v>29</v>
      </c>
      <c r="B32" s="1">
        <v>46117</v>
      </c>
      <c r="C32" s="4" t="s">
        <v>166</v>
      </c>
      <c r="D32">
        <v>800</v>
      </c>
      <c r="E32" s="4" t="s">
        <v>31</v>
      </c>
      <c r="F32" s="4" t="s">
        <v>112</v>
      </c>
      <c r="G32" s="4" t="s">
        <v>146</v>
      </c>
      <c r="H32" s="4" t="s">
        <v>110</v>
      </c>
      <c r="I32" s="4" t="s">
        <v>110</v>
      </c>
      <c r="J32" s="4" t="s">
        <v>32</v>
      </c>
      <c r="L32" s="4" t="s">
        <v>110</v>
      </c>
      <c r="M32" s="4" t="s">
        <v>110</v>
      </c>
      <c r="N32" s="4" t="s">
        <v>110</v>
      </c>
    </row>
    <row r="33" spans="1:14" x14ac:dyDescent="0.35">
      <c r="A33" s="4" t="s">
        <v>29</v>
      </c>
      <c r="B33" s="1">
        <v>46113</v>
      </c>
      <c r="C33" s="4" t="s">
        <v>167</v>
      </c>
      <c r="D33">
        <v>2450</v>
      </c>
      <c r="E33" s="4" t="s">
        <v>31</v>
      </c>
      <c r="F33" s="4" t="s">
        <v>112</v>
      </c>
      <c r="G33" s="4" t="s">
        <v>149</v>
      </c>
      <c r="H33" s="4" t="s">
        <v>110</v>
      </c>
      <c r="I33" s="4" t="s">
        <v>110</v>
      </c>
      <c r="J33" s="4" t="s">
        <v>32</v>
      </c>
      <c r="L33" s="4" t="s">
        <v>110</v>
      </c>
      <c r="M33" s="4" t="s">
        <v>110</v>
      </c>
      <c r="N33" s="4" t="s">
        <v>110</v>
      </c>
    </row>
    <row r="34" spans="1:14" x14ac:dyDescent="0.35">
      <c r="A34" s="4" t="s">
        <v>29</v>
      </c>
      <c r="B34" s="1">
        <v>46113</v>
      </c>
      <c r="C34" s="4" t="s">
        <v>168</v>
      </c>
      <c r="D34">
        <v>2380</v>
      </c>
      <c r="E34" s="4" t="s">
        <v>31</v>
      </c>
      <c r="F34" s="4" t="s">
        <v>112</v>
      </c>
      <c r="G34" s="4" t="s">
        <v>149</v>
      </c>
      <c r="H34" s="4" t="s">
        <v>110</v>
      </c>
      <c r="I34" s="4" t="s">
        <v>110</v>
      </c>
      <c r="J34" s="4" t="s">
        <v>32</v>
      </c>
      <c r="L34" s="4" t="s">
        <v>110</v>
      </c>
      <c r="M34" s="4" t="s">
        <v>110</v>
      </c>
      <c r="N34" s="4" t="s">
        <v>110</v>
      </c>
    </row>
    <row r="35" spans="1:14" x14ac:dyDescent="0.35">
      <c r="A35" s="4" t="s">
        <v>29</v>
      </c>
      <c r="B35" s="1">
        <v>46117</v>
      </c>
      <c r="C35" s="4" t="s">
        <v>169</v>
      </c>
      <c r="D35">
        <v>120</v>
      </c>
      <c r="E35" s="4" t="s">
        <v>112</v>
      </c>
      <c r="F35" s="4" t="s">
        <v>31</v>
      </c>
      <c r="G35" s="4" t="s">
        <v>153</v>
      </c>
      <c r="H35" s="4" t="s">
        <v>110</v>
      </c>
      <c r="I35" s="4" t="s">
        <v>110</v>
      </c>
      <c r="J35" s="4" t="s">
        <v>32</v>
      </c>
      <c r="L35" s="4" t="s">
        <v>110</v>
      </c>
      <c r="M35" s="4" t="s">
        <v>110</v>
      </c>
      <c r="N35" s="4" t="s">
        <v>110</v>
      </c>
    </row>
    <row r="36" spans="1:14" x14ac:dyDescent="0.35">
      <c r="A36" s="4" t="s">
        <v>29</v>
      </c>
      <c r="B36" s="1">
        <v>46132</v>
      </c>
      <c r="C36" s="4" t="s">
        <v>170</v>
      </c>
      <c r="D36">
        <v>45</v>
      </c>
      <c r="E36" s="4" t="s">
        <v>112</v>
      </c>
      <c r="F36" s="4" t="s">
        <v>31</v>
      </c>
      <c r="G36" s="4" t="s">
        <v>134</v>
      </c>
      <c r="H36" s="4" t="s">
        <v>110</v>
      </c>
      <c r="I36" s="4" t="s">
        <v>110</v>
      </c>
      <c r="J36" s="4" t="s">
        <v>32</v>
      </c>
      <c r="L36" s="4" t="s">
        <v>110</v>
      </c>
      <c r="M36" s="4" t="s">
        <v>110</v>
      </c>
      <c r="N36" s="4" t="s">
        <v>110</v>
      </c>
    </row>
    <row r="37" spans="1:14" x14ac:dyDescent="0.35">
      <c r="A37" s="4" t="s">
        <v>171</v>
      </c>
      <c r="B37" s="1">
        <v>46135</v>
      </c>
      <c r="C37" s="4" t="s">
        <v>172</v>
      </c>
      <c r="D37">
        <v>75</v>
      </c>
      <c r="E37" s="4" t="s">
        <v>112</v>
      </c>
      <c r="F37" s="4" t="s">
        <v>31</v>
      </c>
      <c r="G37" s="4" t="s">
        <v>155</v>
      </c>
      <c r="H37" s="4" t="s">
        <v>110</v>
      </c>
      <c r="I37" s="4" t="s">
        <v>110</v>
      </c>
      <c r="J37" s="4" t="s">
        <v>110</v>
      </c>
      <c r="L37" s="4" t="s">
        <v>110</v>
      </c>
      <c r="M37" s="4" t="s">
        <v>110</v>
      </c>
      <c r="N37" s="4" t="s">
        <v>110</v>
      </c>
    </row>
    <row r="38" spans="1:14" x14ac:dyDescent="0.35">
      <c r="A38" s="4" t="s">
        <v>171</v>
      </c>
      <c r="B38" s="1">
        <v>46134</v>
      </c>
      <c r="C38" s="4" t="s">
        <v>173</v>
      </c>
      <c r="D38">
        <v>92.5</v>
      </c>
      <c r="E38" s="4" t="s">
        <v>112</v>
      </c>
      <c r="F38" s="4" t="s">
        <v>31</v>
      </c>
      <c r="G38" s="4" t="s">
        <v>145</v>
      </c>
      <c r="H38" s="4" t="s">
        <v>110</v>
      </c>
      <c r="I38" s="4" t="s">
        <v>110</v>
      </c>
      <c r="J38" s="4" t="s">
        <v>110</v>
      </c>
      <c r="L38" s="4" t="s">
        <v>110</v>
      </c>
      <c r="M38" s="4" t="s">
        <v>110</v>
      </c>
      <c r="N38" s="4" t="s">
        <v>110</v>
      </c>
    </row>
    <row r="39" spans="1:14" x14ac:dyDescent="0.35">
      <c r="A39" s="4" t="s">
        <v>171</v>
      </c>
      <c r="B39" s="1">
        <v>46137</v>
      </c>
      <c r="C39" s="4" t="s">
        <v>174</v>
      </c>
      <c r="D39">
        <v>145.19999999999999</v>
      </c>
      <c r="E39" s="4" t="s">
        <v>112</v>
      </c>
      <c r="F39" s="4" t="s">
        <v>31</v>
      </c>
      <c r="G39" s="4" t="s">
        <v>137</v>
      </c>
      <c r="H39" s="4" t="s">
        <v>110</v>
      </c>
      <c r="I39" s="4" t="s">
        <v>110</v>
      </c>
      <c r="J39" s="4" t="s">
        <v>110</v>
      </c>
      <c r="L39" s="4" t="s">
        <v>110</v>
      </c>
      <c r="M39" s="4" t="s">
        <v>110</v>
      </c>
      <c r="N39" s="4" t="s">
        <v>110</v>
      </c>
    </row>
    <row r="40" spans="1:14" x14ac:dyDescent="0.35">
      <c r="A40" s="4" t="s">
        <v>175</v>
      </c>
      <c r="B40" s="1"/>
      <c r="C40" s="4" t="s">
        <v>176</v>
      </c>
      <c r="E40" s="4" t="s">
        <v>110</v>
      </c>
      <c r="F40" s="4" t="s">
        <v>110</v>
      </c>
      <c r="G40" s="4" t="s">
        <v>110</v>
      </c>
      <c r="H40" s="4" t="s">
        <v>110</v>
      </c>
      <c r="I40" s="4" t="s">
        <v>110</v>
      </c>
      <c r="J40" s="4" t="s">
        <v>110</v>
      </c>
      <c r="L40" s="4" t="s">
        <v>110</v>
      </c>
      <c r="M40" s="4" t="s">
        <v>110</v>
      </c>
      <c r="N40" s="4" t="s">
        <v>110</v>
      </c>
    </row>
    <row r="41" spans="1:14" x14ac:dyDescent="0.35">
      <c r="A41" s="4" t="s">
        <v>177</v>
      </c>
      <c r="B41" s="1">
        <v>46138</v>
      </c>
      <c r="C41" s="4" t="s">
        <v>114</v>
      </c>
      <c r="D41">
        <v>185000</v>
      </c>
      <c r="E41" s="4" t="s">
        <v>110</v>
      </c>
      <c r="F41" s="4" t="s">
        <v>110</v>
      </c>
      <c r="G41" s="4" t="s">
        <v>176</v>
      </c>
      <c r="H41" s="4" t="s">
        <v>110</v>
      </c>
      <c r="I41" s="4" t="s">
        <v>110</v>
      </c>
      <c r="J41" s="4" t="s">
        <v>110</v>
      </c>
      <c r="L41" s="4" t="s">
        <v>110</v>
      </c>
      <c r="M41" s="4" t="s">
        <v>110</v>
      </c>
      <c r="N41" s="4" t="s">
        <v>110</v>
      </c>
    </row>
    <row r="42" spans="1:14" x14ac:dyDescent="0.35">
      <c r="A42" s="4" t="s">
        <v>175</v>
      </c>
      <c r="B42" s="1"/>
      <c r="C42" s="4" t="s">
        <v>178</v>
      </c>
      <c r="E42" s="4" t="s">
        <v>110</v>
      </c>
      <c r="F42" s="4" t="s">
        <v>110</v>
      </c>
      <c r="G42" s="4" t="s">
        <v>110</v>
      </c>
      <c r="H42" s="4" t="s">
        <v>110</v>
      </c>
      <c r="I42" s="4" t="s">
        <v>110</v>
      </c>
      <c r="J42" s="4" t="s">
        <v>110</v>
      </c>
      <c r="L42" s="4" t="s">
        <v>110</v>
      </c>
      <c r="M42" s="4" t="s">
        <v>110</v>
      </c>
      <c r="N42" s="4" t="s">
        <v>110</v>
      </c>
    </row>
    <row r="43" spans="1:14" x14ac:dyDescent="0.35">
      <c r="A43" s="4" t="s">
        <v>177</v>
      </c>
      <c r="B43" s="1">
        <v>46138</v>
      </c>
      <c r="C43" s="4" t="s">
        <v>179</v>
      </c>
      <c r="D43">
        <v>1000</v>
      </c>
      <c r="E43" s="4" t="s">
        <v>110</v>
      </c>
      <c r="F43" s="4" t="s">
        <v>110</v>
      </c>
      <c r="G43" s="4" t="s">
        <v>178</v>
      </c>
      <c r="H43" s="4" t="s">
        <v>110</v>
      </c>
      <c r="I43" s="4" t="s">
        <v>110</v>
      </c>
      <c r="J43" s="4" t="s">
        <v>110</v>
      </c>
      <c r="L43" s="4" t="s">
        <v>110</v>
      </c>
      <c r="M43" s="4" t="s">
        <v>110</v>
      </c>
      <c r="N43" s="4" t="s">
        <v>110</v>
      </c>
    </row>
    <row r="44" spans="1:14" x14ac:dyDescent="0.35">
      <c r="A44" s="4" t="s">
        <v>175</v>
      </c>
      <c r="B44" s="1"/>
      <c r="C44" s="4" t="s">
        <v>180</v>
      </c>
      <c r="E44" s="4" t="s">
        <v>110</v>
      </c>
      <c r="F44" s="4" t="s">
        <v>110</v>
      </c>
      <c r="G44" s="4" t="s">
        <v>110</v>
      </c>
      <c r="H44" s="4" t="s">
        <v>110</v>
      </c>
      <c r="I44" s="4" t="s">
        <v>110</v>
      </c>
      <c r="J44" s="4" t="s">
        <v>110</v>
      </c>
      <c r="L44" s="4" t="s">
        <v>110</v>
      </c>
      <c r="M44" s="4" t="s">
        <v>110</v>
      </c>
      <c r="N44" s="4" t="s">
        <v>110</v>
      </c>
    </row>
    <row r="45" spans="1:14" x14ac:dyDescent="0.35">
      <c r="A45" s="4" t="s">
        <v>177</v>
      </c>
      <c r="B45" s="1">
        <v>46138</v>
      </c>
      <c r="C45" s="4" t="s">
        <v>114</v>
      </c>
      <c r="D45">
        <v>300000</v>
      </c>
      <c r="E45" s="4" t="s">
        <v>110</v>
      </c>
      <c r="F45" s="4" t="s">
        <v>110</v>
      </c>
      <c r="G45" s="4" t="s">
        <v>180</v>
      </c>
      <c r="H45" s="4" t="s">
        <v>110</v>
      </c>
      <c r="I45" s="4" t="s">
        <v>110</v>
      </c>
      <c r="J45" s="4" t="s">
        <v>110</v>
      </c>
      <c r="L45" s="4" t="s">
        <v>110</v>
      </c>
      <c r="M45" s="4" t="s">
        <v>110</v>
      </c>
      <c r="N45" s="4" t="s">
        <v>110</v>
      </c>
    </row>
    <row r="46" spans="1:14" x14ac:dyDescent="0.35">
      <c r="A46" s="4" t="s">
        <v>175</v>
      </c>
      <c r="B46" s="1"/>
      <c r="C46" s="4" t="s">
        <v>181</v>
      </c>
      <c r="E46" s="4" t="s">
        <v>110</v>
      </c>
      <c r="F46" s="4" t="s">
        <v>110</v>
      </c>
      <c r="G46" s="4" t="s">
        <v>110</v>
      </c>
      <c r="H46" s="4" t="s">
        <v>110</v>
      </c>
      <c r="I46" s="4" t="s">
        <v>110</v>
      </c>
      <c r="J46" s="4" t="s">
        <v>110</v>
      </c>
      <c r="L46" s="4" t="s">
        <v>110</v>
      </c>
      <c r="M46" s="4" t="s">
        <v>110</v>
      </c>
      <c r="N46" s="4" t="s">
        <v>110</v>
      </c>
    </row>
    <row r="47" spans="1:14" x14ac:dyDescent="0.35">
      <c r="A47" s="4" t="s">
        <v>177</v>
      </c>
      <c r="B47" s="1">
        <v>46138</v>
      </c>
      <c r="C47" s="4" t="s">
        <v>182</v>
      </c>
      <c r="D47">
        <v>2500</v>
      </c>
      <c r="E47" s="4" t="s">
        <v>110</v>
      </c>
      <c r="F47" s="4" t="s">
        <v>110</v>
      </c>
      <c r="G47" s="4" t="s">
        <v>181</v>
      </c>
      <c r="H47" s="4" t="s">
        <v>110</v>
      </c>
      <c r="I47" s="4" t="s">
        <v>110</v>
      </c>
      <c r="J47" s="4" t="s">
        <v>110</v>
      </c>
      <c r="L47" s="4" t="s">
        <v>110</v>
      </c>
      <c r="M47" s="4" t="s">
        <v>110</v>
      </c>
      <c r="N47" s="4" t="s">
        <v>110</v>
      </c>
    </row>
    <row r="48" spans="1:14" x14ac:dyDescent="0.35">
      <c r="A48" s="4" t="s">
        <v>183</v>
      </c>
      <c r="B48" s="1"/>
      <c r="C48" s="4" t="s">
        <v>184</v>
      </c>
      <c r="E48" s="4" t="s">
        <v>110</v>
      </c>
      <c r="F48" s="4" t="s">
        <v>110</v>
      </c>
      <c r="G48" s="4" t="s">
        <v>110</v>
      </c>
      <c r="H48" s="4" t="s">
        <v>110</v>
      </c>
      <c r="I48" s="4" t="s">
        <v>110</v>
      </c>
      <c r="J48" s="4" t="s">
        <v>110</v>
      </c>
      <c r="L48" s="4" t="s">
        <v>110</v>
      </c>
      <c r="M48" s="4" t="s">
        <v>110</v>
      </c>
      <c r="N48" s="4" t="s">
        <v>110</v>
      </c>
    </row>
    <row r="49" spans="1:14" x14ac:dyDescent="0.35">
      <c r="A49" s="4" t="s">
        <v>185</v>
      </c>
      <c r="B49" s="1">
        <v>46138</v>
      </c>
      <c r="C49" s="4" t="s">
        <v>110</v>
      </c>
      <c r="D49">
        <v>120000</v>
      </c>
      <c r="E49" s="4" t="s">
        <v>110</v>
      </c>
      <c r="F49" s="4" t="s">
        <v>110</v>
      </c>
      <c r="G49" s="4" t="s">
        <v>184</v>
      </c>
      <c r="H49" s="4" t="s">
        <v>110</v>
      </c>
      <c r="I49" s="4" t="s">
        <v>110</v>
      </c>
      <c r="J49" s="4" t="s">
        <v>110</v>
      </c>
      <c r="L49" s="4" t="s">
        <v>110</v>
      </c>
      <c r="M49" s="4" t="s">
        <v>110</v>
      </c>
      <c r="N49" s="4" t="s">
        <v>110</v>
      </c>
    </row>
    <row r="50" spans="1:14" x14ac:dyDescent="0.35">
      <c r="A50" s="4" t="s">
        <v>183</v>
      </c>
      <c r="B50" s="1"/>
      <c r="C50" s="4" t="s">
        <v>186</v>
      </c>
      <c r="E50" s="4" t="s">
        <v>110</v>
      </c>
      <c r="F50" s="4" t="s">
        <v>110</v>
      </c>
      <c r="G50" s="4" t="s">
        <v>110</v>
      </c>
      <c r="H50" s="4" t="s">
        <v>110</v>
      </c>
      <c r="I50" s="4" t="s">
        <v>110</v>
      </c>
      <c r="J50" s="4" t="s">
        <v>110</v>
      </c>
      <c r="L50" s="4" t="s">
        <v>110</v>
      </c>
      <c r="M50" s="4" t="s">
        <v>110</v>
      </c>
      <c r="N50" s="4" t="s">
        <v>110</v>
      </c>
    </row>
    <row r="51" spans="1:14" x14ac:dyDescent="0.35">
      <c r="A51" s="4" t="s">
        <v>185</v>
      </c>
      <c r="B51" s="1">
        <v>46138</v>
      </c>
      <c r="C51" s="4" t="s">
        <v>110</v>
      </c>
      <c r="D51">
        <v>15000</v>
      </c>
      <c r="E51" s="4" t="s">
        <v>110</v>
      </c>
      <c r="F51" s="4" t="s">
        <v>110</v>
      </c>
      <c r="G51" s="4" t="s">
        <v>186</v>
      </c>
      <c r="H51" s="4" t="s">
        <v>110</v>
      </c>
      <c r="I51" s="4" t="s">
        <v>110</v>
      </c>
      <c r="J51" s="4" t="s">
        <v>110</v>
      </c>
      <c r="L51" s="4" t="s">
        <v>110</v>
      </c>
      <c r="M51" s="4" t="s">
        <v>110</v>
      </c>
      <c r="N51" s="4" t="s">
        <v>110</v>
      </c>
    </row>
    <row r="52" spans="1:14" x14ac:dyDescent="0.35">
      <c r="A52" s="4" t="s">
        <v>183</v>
      </c>
      <c r="B52" s="1"/>
      <c r="C52" s="4" t="s">
        <v>187</v>
      </c>
      <c r="E52" s="4" t="s">
        <v>110</v>
      </c>
      <c r="F52" s="4" t="s">
        <v>110</v>
      </c>
      <c r="G52" s="4" t="s">
        <v>110</v>
      </c>
      <c r="H52" s="4" t="s">
        <v>110</v>
      </c>
      <c r="I52" s="4" t="s">
        <v>110</v>
      </c>
      <c r="J52" s="4" t="s">
        <v>110</v>
      </c>
      <c r="L52" s="4" t="s">
        <v>110</v>
      </c>
      <c r="M52" s="4" t="s">
        <v>110</v>
      </c>
      <c r="N52" s="4" t="s">
        <v>110</v>
      </c>
    </row>
    <row r="53" spans="1:14" x14ac:dyDescent="0.35">
      <c r="A53" s="4" t="s">
        <v>185</v>
      </c>
      <c r="B53" s="1">
        <v>46138</v>
      </c>
      <c r="C53" s="4" t="s">
        <v>110</v>
      </c>
      <c r="D53">
        <v>265000</v>
      </c>
      <c r="E53" s="4" t="s">
        <v>110</v>
      </c>
      <c r="F53" s="4" t="s">
        <v>110</v>
      </c>
      <c r="G53" s="4" t="s">
        <v>187</v>
      </c>
      <c r="H53" s="4" t="s">
        <v>110</v>
      </c>
      <c r="I53" s="4" t="s">
        <v>110</v>
      </c>
      <c r="J53" s="4" t="s">
        <v>110</v>
      </c>
      <c r="L53" s="4" t="s">
        <v>110</v>
      </c>
      <c r="M53" s="4" t="s">
        <v>110</v>
      </c>
      <c r="N53" s="4" t="s">
        <v>110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2D8FDB-2F19-4BC3-A82B-0C7A90E807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strady-full-backup-2026-04-15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Tsemengue</cp:lastModifiedBy>
  <dcterms:created xsi:type="dcterms:W3CDTF">2026-04-17T19:04:54Z</dcterms:created>
  <dcterms:modified xsi:type="dcterms:W3CDTF">2026-04-30T15:13:35Z</dcterms:modified>
</cp:coreProperties>
</file>