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sem\Projects\strady\strady-budget\"/>
    </mc:Choice>
  </mc:AlternateContent>
  <xr:revisionPtr revIDLastSave="0" documentId="8_{B8CADA9C-BF11-474A-B44C-D406D93DB749}" xr6:coauthVersionLast="47" xr6:coauthVersionMax="47" xr10:uidLastSave="{00000000-0000-0000-0000-000000000000}"/>
  <bookViews>
    <workbookView xWindow="-110" yWindow="-110" windowWidth="19420" windowHeight="10300" xr2:uid="{389345CA-4FF3-4557-8C53-87BFC522EBA6}"/>
  </bookViews>
  <sheets>
    <sheet name="transactions" sheetId="1" r:id="rId1"/>
    <sheet name="comp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11" i="1"/>
</calcChain>
</file>

<file path=xl/sharedStrings.xml><?xml version="1.0" encoding="utf-8"?>
<sst xmlns="http://schemas.openxmlformats.org/spreadsheetml/2006/main" count="172" uniqueCount="61">
  <si>
    <t>date</t>
  </si>
  <si>
    <t>label</t>
  </si>
  <si>
    <t>amount</t>
  </si>
  <si>
    <t>source</t>
  </si>
  <si>
    <t>destination</t>
  </si>
  <si>
    <t>reccuring</t>
  </si>
  <si>
    <t>startdate</t>
  </si>
  <si>
    <t>endate</t>
  </si>
  <si>
    <t>periodicity</t>
  </si>
  <si>
    <t>Loyer</t>
  </si>
  <si>
    <t>Compte Courant Principal</t>
  </si>
  <si>
    <t>Externe</t>
  </si>
  <si>
    <t>M</t>
  </si>
  <si>
    <t>Salaire mensuel</t>
  </si>
  <si>
    <t>Assurance</t>
  </si>
  <si>
    <t>Courses (La Louvière)</t>
  </si>
  <si>
    <t>Virement Épargne</t>
  </si>
  <si>
    <t>Livret Épargne</t>
  </si>
  <si>
    <t>Assurance Auto Annuelle</t>
  </si>
  <si>
    <t>BEL_1_10EME_MAO</t>
  </si>
  <si>
    <t>BEL_AOS</t>
  </si>
  <si>
    <t>BEL_ENIH</t>
  </si>
  <si>
    <t>BEL_AEL</t>
  </si>
  <si>
    <t>BEL_DEPENSE_NON_COURANTE</t>
  </si>
  <si>
    <t>2025-12-31</t>
  </si>
  <si>
    <t>Account,solde,date</t>
  </si>
  <si>
    <t>BEL_1_10EME_MAO,1859.87,2025-12-31</t>
  </si>
  <si>
    <t>Salary</t>
  </si>
  <si>
    <t>Other income</t>
  </si>
  <si>
    <t>Allowances</t>
  </si>
  <si>
    <t>1-10th</t>
  </si>
  <si>
    <t>Aos(EP)</t>
  </si>
  <si>
    <t>Enih(EP)</t>
  </si>
  <si>
    <t>Aël(EP)</t>
  </si>
  <si>
    <t>CBC La Louvière</t>
  </si>
  <si>
    <t>Assurance Solde Restant dû</t>
  </si>
  <si>
    <t>Dette 30K</t>
  </si>
  <si>
    <t>Engie</t>
  </si>
  <si>
    <t>Swde</t>
  </si>
  <si>
    <t>Alimentation</t>
  </si>
  <si>
    <t>Hygiène</t>
  </si>
  <si>
    <t>Proximus</t>
  </si>
  <si>
    <t>Frais Bancaire BELFIUS</t>
  </si>
  <si>
    <t>Argent de poche</t>
  </si>
  <si>
    <t>Croix Rouges</t>
  </si>
  <si>
    <t>Provision Mutualia -  Santé</t>
  </si>
  <si>
    <t>Provision Assurance CBC - habitation / Familiale</t>
  </si>
  <si>
    <t>Provison Revenu Cadastrale</t>
  </si>
  <si>
    <t>Provision Taxes Communales</t>
  </si>
  <si>
    <t>Provision EP PENSION</t>
  </si>
  <si>
    <t>Provision Aide et Soutien familial</t>
  </si>
  <si>
    <t>LDD (lili)</t>
  </si>
  <si>
    <t>Frais divers (prixtel, ...)</t>
  </si>
  <si>
    <t>CBC</t>
  </si>
  <si>
    <t>BEL_RESERVE_SANTE_CRECHE,2595.93,2025-12-31</t>
  </si>
  <si>
    <t>BEL_1_10EME_FRI,19636.68,2025-12-31</t>
  </si>
  <si>
    <t>BEL_AOS,8700,2025-12-31</t>
  </si>
  <si>
    <t>BEL_ENIH,7673.87,2025-12-31</t>
  </si>
  <si>
    <t>BEL_AEL,6207.45,2025-12-31</t>
  </si>
  <si>
    <t>BEL_DEPENSE_NON_COURANTE,7351.42,2025-12-31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</si>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</sst>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8E77-A8AF-4A58-BD56-314E35283FD9}">
  <dimension ref="A1:K37"/>
  <sheetViews>
    <sheetView tabSelected="1" topLeftCell="A4" workbookViewId="0">
      <selection activeCell="D12" sqref="D12"/>
    </sheetView>
  </sheetViews>
  <sheetFormatPr defaultRowHeight="14.5" x14ac:dyDescent="0.35"/>
  <cols>
    <col min="1" max="1" width="10.08984375" bestFit="1" customWidth="1"/>
    <col min="2" max="2" width="21.08984375" bestFit="1" customWidth="1"/>
    <col min="4" max="5" width="21.90625" bestFit="1" customWidth="1"/>
    <col min="7" max="8" width="10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 s="1">
        <v>46023</v>
      </c>
      <c r="B2" t="s">
        <v>9</v>
      </c>
      <c r="C2">
        <v>950</v>
      </c>
      <c r="D2" t="s">
        <v>10</v>
      </c>
      <c r="E2" t="s">
        <v>11</v>
      </c>
      <c r="F2">
        <v>1</v>
      </c>
      <c r="G2" s="1">
        <v>46023</v>
      </c>
      <c r="H2" s="1">
        <v>46357</v>
      </c>
      <c r="I2" t="s">
        <v>12</v>
      </c>
    </row>
    <row r="3" spans="1:11" x14ac:dyDescent="0.35">
      <c r="A3" s="1">
        <v>46083</v>
      </c>
      <c r="B3" t="s">
        <v>13</v>
      </c>
      <c r="C3">
        <v>2800</v>
      </c>
      <c r="D3" t="s">
        <v>11</v>
      </c>
      <c r="E3" t="s">
        <v>10</v>
      </c>
      <c r="F3">
        <v>0</v>
      </c>
    </row>
    <row r="4" spans="1:11" x14ac:dyDescent="0.35">
      <c r="A4" s="1">
        <v>46084</v>
      </c>
      <c r="B4" t="s">
        <v>14</v>
      </c>
      <c r="C4">
        <v>65</v>
      </c>
      <c r="D4" t="s">
        <v>10</v>
      </c>
      <c r="E4" t="s">
        <v>11</v>
      </c>
      <c r="F4">
        <v>0</v>
      </c>
    </row>
    <row r="5" spans="1:11" x14ac:dyDescent="0.35">
      <c r="A5" s="1">
        <v>46085</v>
      </c>
      <c r="B5" t="s">
        <v>15</v>
      </c>
      <c r="C5">
        <v>120</v>
      </c>
      <c r="D5" t="s">
        <v>10</v>
      </c>
      <c r="E5" t="s">
        <v>11</v>
      </c>
      <c r="F5">
        <v>0</v>
      </c>
    </row>
    <row r="6" spans="1:11" x14ac:dyDescent="0.35">
      <c r="A6" s="1">
        <v>46086</v>
      </c>
      <c r="B6" t="s">
        <v>16</v>
      </c>
      <c r="C6">
        <v>200</v>
      </c>
      <c r="D6" t="s">
        <v>10</v>
      </c>
      <c r="E6" t="s">
        <v>17</v>
      </c>
      <c r="F6">
        <v>0</v>
      </c>
    </row>
    <row r="7" spans="1:11" x14ac:dyDescent="0.35">
      <c r="A7" s="1">
        <v>46173</v>
      </c>
      <c r="B7" t="s">
        <v>18</v>
      </c>
      <c r="C7">
        <v>450</v>
      </c>
      <c r="D7" t="s">
        <v>10</v>
      </c>
      <c r="E7" t="s">
        <v>11</v>
      </c>
      <c r="F7">
        <v>0</v>
      </c>
    </row>
    <row r="11" spans="1:11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K11" t="str">
        <f>A11&amp;","&amp;B11&amp;","&amp;C11&amp;","&amp;D11&amp;","&amp;E11&amp;","&amp;F11&amp;","&amp;G11&amp;","&amp;H11&amp;","&amp;I11</f>
        <v>date,label,amount,source,destination,reccuring,startdate,endate,periodicity</v>
      </c>
    </row>
    <row r="12" spans="1:11" x14ac:dyDescent="0.35">
      <c r="A12" s="3" t="s">
        <v>24</v>
      </c>
      <c r="B12" t="s">
        <v>27</v>
      </c>
      <c r="C12">
        <v>3000</v>
      </c>
      <c r="E12" t="s">
        <v>53</v>
      </c>
      <c r="F12">
        <v>1</v>
      </c>
      <c r="G12" s="2" t="s">
        <v>60</v>
      </c>
      <c r="I12" t="s">
        <v>12</v>
      </c>
      <c r="K12" t="str">
        <f t="shared" ref="K12:K37" si="0">A12&amp;","&amp;B12&amp;","&amp;C12&amp;","&amp;D12&amp;","&amp;E12&amp;","&amp;F12&amp;","&amp;G12&amp;","&amp;H12&amp;","&amp;I12</f>
        <v>2025-12-31,Salary,3000,,CBC,1,2026-01-01,,M</v>
      </c>
    </row>
    <row r="13" spans="1:11" x14ac:dyDescent="0.35">
      <c r="A13" s="3" t="s">
        <v>24</v>
      </c>
      <c r="B13" t="s">
        <v>28</v>
      </c>
      <c r="C13">
        <v>0</v>
      </c>
      <c r="E13" t="s">
        <v>53</v>
      </c>
      <c r="F13">
        <v>1</v>
      </c>
      <c r="G13" s="2" t="s">
        <v>60</v>
      </c>
      <c r="I13" t="s">
        <v>12</v>
      </c>
      <c r="K13" t="str">
        <f t="shared" si="0"/>
        <v>2025-12-31,Other income,0,,CBC,1,2026-01-01,,M</v>
      </c>
    </row>
    <row r="14" spans="1:11" x14ac:dyDescent="0.35">
      <c r="A14" s="3" t="s">
        <v>24</v>
      </c>
      <c r="B14" t="s">
        <v>29</v>
      </c>
      <c r="C14">
        <v>594</v>
      </c>
      <c r="E14" t="s">
        <v>53</v>
      </c>
      <c r="F14">
        <v>1</v>
      </c>
      <c r="G14" s="2" t="s">
        <v>60</v>
      </c>
      <c r="I14" t="s">
        <v>12</v>
      </c>
      <c r="K14" t="str">
        <f t="shared" si="0"/>
        <v>2025-12-31,Allowances,594,,CBC,1,2026-01-01,,M</v>
      </c>
    </row>
    <row r="15" spans="1:11" x14ac:dyDescent="0.35">
      <c r="A15" s="3" t="s">
        <v>24</v>
      </c>
      <c r="B15" t="s">
        <v>30</v>
      </c>
      <c r="C15">
        <v>-50</v>
      </c>
      <c r="E15" t="s">
        <v>19</v>
      </c>
      <c r="F15">
        <v>1</v>
      </c>
      <c r="G15" s="2" t="s">
        <v>60</v>
      </c>
      <c r="I15" t="s">
        <v>12</v>
      </c>
      <c r="K15" t="str">
        <f t="shared" si="0"/>
        <v>2025-12-31,1-10th,-50,,BEL_1_10EME_MAO,1,2026-01-01,,M</v>
      </c>
    </row>
    <row r="16" spans="1:11" x14ac:dyDescent="0.35">
      <c r="A16" s="3" t="s">
        <v>24</v>
      </c>
      <c r="B16" t="s">
        <v>31</v>
      </c>
      <c r="C16">
        <v>0</v>
      </c>
      <c r="E16" t="s">
        <v>20</v>
      </c>
      <c r="F16">
        <v>1</v>
      </c>
      <c r="G16" s="2" t="s">
        <v>60</v>
      </c>
      <c r="I16" t="s">
        <v>12</v>
      </c>
      <c r="K16" t="str">
        <f t="shared" si="0"/>
        <v>2025-12-31,Aos(EP),0,,BEL_AOS,1,2026-01-01,,M</v>
      </c>
    </row>
    <row r="17" spans="1:11" x14ac:dyDescent="0.35">
      <c r="A17" s="3" t="s">
        <v>24</v>
      </c>
      <c r="B17" t="s">
        <v>32</v>
      </c>
      <c r="C17">
        <v>0</v>
      </c>
      <c r="E17" t="s">
        <v>21</v>
      </c>
      <c r="F17">
        <v>1</v>
      </c>
      <c r="G17" s="2" t="s">
        <v>60</v>
      </c>
      <c r="I17" t="s">
        <v>12</v>
      </c>
      <c r="K17" t="str">
        <f t="shared" si="0"/>
        <v>2025-12-31,Enih(EP),0,,BEL_ENIH,1,2026-01-01,,M</v>
      </c>
    </row>
    <row r="18" spans="1:11" x14ac:dyDescent="0.35">
      <c r="A18" s="3" t="s">
        <v>24</v>
      </c>
      <c r="B18" t="s">
        <v>33</v>
      </c>
      <c r="C18">
        <v>0</v>
      </c>
      <c r="E18" t="s">
        <v>22</v>
      </c>
      <c r="F18">
        <v>1</v>
      </c>
      <c r="G18" s="2" t="s">
        <v>60</v>
      </c>
      <c r="I18" t="s">
        <v>12</v>
      </c>
      <c r="K18" t="str">
        <f t="shared" si="0"/>
        <v>2025-12-31,Aël(EP),0,,BEL_AEL,1,2026-01-01,,M</v>
      </c>
    </row>
    <row r="19" spans="1:11" x14ac:dyDescent="0.35">
      <c r="A19" s="3" t="s">
        <v>24</v>
      </c>
      <c r="B19" t="s">
        <v>34</v>
      </c>
      <c r="C19">
        <v>-1152</v>
      </c>
      <c r="D19" t="s">
        <v>53</v>
      </c>
      <c r="F19">
        <v>1</v>
      </c>
      <c r="G19" s="2" t="s">
        <v>60</v>
      </c>
      <c r="I19" t="s">
        <v>12</v>
      </c>
      <c r="K19" t="str">
        <f t="shared" si="0"/>
        <v>2025-12-31,CBC La Louvière,-1152,CBC,,1,2026-01-01,,M</v>
      </c>
    </row>
    <row r="20" spans="1:11" x14ac:dyDescent="0.35">
      <c r="A20" s="3" t="s">
        <v>24</v>
      </c>
      <c r="B20" t="s">
        <v>35</v>
      </c>
      <c r="C20">
        <v>-60</v>
      </c>
      <c r="D20" t="s">
        <v>53</v>
      </c>
      <c r="F20">
        <v>1</v>
      </c>
      <c r="G20" s="2" t="s">
        <v>60</v>
      </c>
      <c r="I20" t="s">
        <v>12</v>
      </c>
      <c r="K20" t="str">
        <f t="shared" si="0"/>
        <v>2025-12-31,Assurance Solde Restant dû,-60,CBC,,1,2026-01-01,,M</v>
      </c>
    </row>
    <row r="21" spans="1:11" x14ac:dyDescent="0.35">
      <c r="A21" s="3" t="s">
        <v>24</v>
      </c>
      <c r="B21" t="s">
        <v>36</v>
      </c>
      <c r="C21">
        <v>-478</v>
      </c>
      <c r="D21" t="s">
        <v>53</v>
      </c>
      <c r="F21">
        <v>1</v>
      </c>
      <c r="G21" s="2" t="s">
        <v>60</v>
      </c>
      <c r="I21" t="s">
        <v>12</v>
      </c>
      <c r="K21" t="str">
        <f t="shared" si="0"/>
        <v>2025-12-31,Dette 30K,-478,CBC,,1,2026-01-01,,M</v>
      </c>
    </row>
    <row r="22" spans="1:11" x14ac:dyDescent="0.35">
      <c r="A22" s="3" t="s">
        <v>24</v>
      </c>
      <c r="B22" t="s">
        <v>37</v>
      </c>
      <c r="C22">
        <v>-380</v>
      </c>
      <c r="D22" t="s">
        <v>53</v>
      </c>
      <c r="F22">
        <v>1</v>
      </c>
      <c r="G22" s="2" t="s">
        <v>60</v>
      </c>
      <c r="I22" t="s">
        <v>12</v>
      </c>
      <c r="K22" t="str">
        <f t="shared" si="0"/>
        <v>2025-12-31,Engie,-380,CBC,,1,2026-01-01,,M</v>
      </c>
    </row>
    <row r="23" spans="1:11" x14ac:dyDescent="0.35">
      <c r="A23" s="3" t="s">
        <v>24</v>
      </c>
      <c r="B23" t="s">
        <v>38</v>
      </c>
      <c r="C23">
        <v>-237</v>
      </c>
      <c r="D23" t="s">
        <v>53</v>
      </c>
      <c r="F23">
        <v>1</v>
      </c>
      <c r="G23" s="2" t="s">
        <v>60</v>
      </c>
      <c r="I23" t="s">
        <v>12</v>
      </c>
      <c r="K23" t="str">
        <f t="shared" si="0"/>
        <v>2025-12-31,Swde,-237,CBC,,1,2026-01-01,,M</v>
      </c>
    </row>
    <row r="24" spans="1:11" x14ac:dyDescent="0.35">
      <c r="A24" s="3" t="s">
        <v>24</v>
      </c>
      <c r="B24" t="s">
        <v>39</v>
      </c>
      <c r="C24">
        <v>-400</v>
      </c>
      <c r="D24" t="s">
        <v>53</v>
      </c>
      <c r="F24">
        <v>1</v>
      </c>
      <c r="G24" s="2" t="s">
        <v>60</v>
      </c>
      <c r="I24" t="s">
        <v>12</v>
      </c>
      <c r="K24" t="str">
        <f t="shared" si="0"/>
        <v>2025-12-31,Alimentation,-400,CBC,,1,2026-01-01,,M</v>
      </c>
    </row>
    <row r="25" spans="1:11" x14ac:dyDescent="0.35">
      <c r="A25" s="3" t="s">
        <v>24</v>
      </c>
      <c r="B25" t="s">
        <v>40</v>
      </c>
      <c r="C25">
        <v>-275</v>
      </c>
      <c r="D25" t="s">
        <v>53</v>
      </c>
      <c r="F25">
        <v>1</v>
      </c>
      <c r="G25" s="2" t="s">
        <v>60</v>
      </c>
      <c r="I25" t="s">
        <v>12</v>
      </c>
      <c r="K25" t="str">
        <f t="shared" si="0"/>
        <v>2025-12-31,Hygiène,-275,CBC,,1,2026-01-01,,M</v>
      </c>
    </row>
    <row r="26" spans="1:11" x14ac:dyDescent="0.35">
      <c r="A26" s="3" t="s">
        <v>24</v>
      </c>
      <c r="B26" t="s">
        <v>41</v>
      </c>
      <c r="C26">
        <v>-52</v>
      </c>
      <c r="D26" t="s">
        <v>53</v>
      </c>
      <c r="F26">
        <v>1</v>
      </c>
      <c r="G26" s="2" t="s">
        <v>60</v>
      </c>
      <c r="I26" t="s">
        <v>12</v>
      </c>
      <c r="K26" t="str">
        <f t="shared" si="0"/>
        <v>2025-12-31,Proximus,-52,CBC,,1,2026-01-01,,M</v>
      </c>
    </row>
    <row r="27" spans="1:11" x14ac:dyDescent="0.35">
      <c r="A27" s="3" t="s">
        <v>24</v>
      </c>
      <c r="B27" t="s">
        <v>42</v>
      </c>
      <c r="C27">
        <v>-5</v>
      </c>
      <c r="D27" t="s">
        <v>53</v>
      </c>
      <c r="F27">
        <v>1</v>
      </c>
      <c r="G27" s="2" t="s">
        <v>60</v>
      </c>
      <c r="I27" t="s">
        <v>12</v>
      </c>
      <c r="K27" t="str">
        <f t="shared" si="0"/>
        <v>2025-12-31,Frais Bancaire BELFIUS,-5,CBC,,1,2026-01-01,,M</v>
      </c>
    </row>
    <row r="28" spans="1:11" x14ac:dyDescent="0.35">
      <c r="A28" s="3" t="s">
        <v>24</v>
      </c>
      <c r="B28" t="s">
        <v>43</v>
      </c>
      <c r="C28">
        <v>-11</v>
      </c>
      <c r="D28" t="s">
        <v>53</v>
      </c>
      <c r="F28">
        <v>1</v>
      </c>
      <c r="G28" s="2" t="s">
        <v>60</v>
      </c>
      <c r="I28" t="s">
        <v>12</v>
      </c>
      <c r="K28" t="str">
        <f t="shared" si="0"/>
        <v>2025-12-31,Argent de poche,-11,CBC,,1,2026-01-01,,M</v>
      </c>
    </row>
    <row r="29" spans="1:11" x14ac:dyDescent="0.35">
      <c r="A29" s="3" t="s">
        <v>24</v>
      </c>
      <c r="B29" t="s">
        <v>44</v>
      </c>
      <c r="C29">
        <v>-14</v>
      </c>
      <c r="D29" t="s">
        <v>53</v>
      </c>
      <c r="F29">
        <v>1</v>
      </c>
      <c r="G29" s="2" t="s">
        <v>60</v>
      </c>
      <c r="I29" t="s">
        <v>12</v>
      </c>
      <c r="K29" t="str">
        <f t="shared" si="0"/>
        <v>2025-12-31,Croix Rouges,-14,CBC,,1,2026-01-01,,M</v>
      </c>
    </row>
    <row r="30" spans="1:11" x14ac:dyDescent="0.35">
      <c r="A30" s="3" t="s">
        <v>24</v>
      </c>
      <c r="B30" t="s">
        <v>45</v>
      </c>
      <c r="C30">
        <v>-15</v>
      </c>
      <c r="E30" t="s">
        <v>23</v>
      </c>
      <c r="F30">
        <v>1</v>
      </c>
      <c r="G30" s="2" t="s">
        <v>60</v>
      </c>
      <c r="I30" t="s">
        <v>12</v>
      </c>
      <c r="K30" t="str">
        <f t="shared" si="0"/>
        <v>2025-12-31,Provision Mutualia -  Santé,-15,,BEL_DEPENSE_NON_COURANTE,1,2026-01-01,,M</v>
      </c>
    </row>
    <row r="31" spans="1:11" x14ac:dyDescent="0.35">
      <c r="A31" s="3" t="s">
        <v>24</v>
      </c>
      <c r="B31" t="s">
        <v>46</v>
      </c>
      <c r="C31">
        <v>-65</v>
      </c>
      <c r="E31" t="s">
        <v>23</v>
      </c>
      <c r="F31">
        <v>1</v>
      </c>
      <c r="G31" s="2" t="s">
        <v>60</v>
      </c>
      <c r="I31" t="s">
        <v>12</v>
      </c>
      <c r="K31" t="str">
        <f t="shared" si="0"/>
        <v>2025-12-31,Provision Assurance CBC - habitation / Familiale,-65,,BEL_DEPENSE_NON_COURANTE,1,2026-01-01,,M</v>
      </c>
    </row>
    <row r="32" spans="1:11" x14ac:dyDescent="0.35">
      <c r="A32" s="3" t="s">
        <v>24</v>
      </c>
      <c r="B32" t="s">
        <v>47</v>
      </c>
      <c r="C32">
        <v>-125</v>
      </c>
      <c r="E32" t="s">
        <v>23</v>
      </c>
      <c r="F32">
        <v>1</v>
      </c>
      <c r="G32" s="2" t="s">
        <v>60</v>
      </c>
      <c r="I32" t="s">
        <v>12</v>
      </c>
      <c r="K32" t="str">
        <f t="shared" si="0"/>
        <v>2025-12-31,Provison Revenu Cadastrale,-125,,BEL_DEPENSE_NON_COURANTE,1,2026-01-01,,M</v>
      </c>
    </row>
    <row r="33" spans="1:11" x14ac:dyDescent="0.35">
      <c r="A33" s="3" t="s">
        <v>24</v>
      </c>
      <c r="B33" t="s">
        <v>48</v>
      </c>
      <c r="C33">
        <v>-25</v>
      </c>
      <c r="E33" t="s">
        <v>23</v>
      </c>
      <c r="F33">
        <v>1</v>
      </c>
      <c r="G33" s="2" t="s">
        <v>60</v>
      </c>
      <c r="I33" t="s">
        <v>12</v>
      </c>
      <c r="K33" t="str">
        <f t="shared" si="0"/>
        <v>2025-12-31,Provision Taxes Communales,-25,,BEL_DEPENSE_NON_COURANTE,1,2026-01-01,,M</v>
      </c>
    </row>
    <row r="34" spans="1:11" x14ac:dyDescent="0.35">
      <c r="A34" s="3" t="s">
        <v>24</v>
      </c>
      <c r="B34" t="s">
        <v>49</v>
      </c>
      <c r="C34">
        <v>-90</v>
      </c>
      <c r="E34" t="s">
        <v>23</v>
      </c>
      <c r="F34">
        <v>1</v>
      </c>
      <c r="G34" s="2" t="s">
        <v>60</v>
      </c>
      <c r="I34" t="s">
        <v>12</v>
      </c>
      <c r="K34" t="str">
        <f t="shared" si="0"/>
        <v>2025-12-31,Provision EP PENSION,-90,,BEL_DEPENSE_NON_COURANTE,1,2026-01-01,,M</v>
      </c>
    </row>
    <row r="35" spans="1:11" x14ac:dyDescent="0.35">
      <c r="A35" s="3" t="s">
        <v>24</v>
      </c>
      <c r="B35" t="s">
        <v>50</v>
      </c>
      <c r="C35">
        <v>-50</v>
      </c>
      <c r="F35">
        <v>1</v>
      </c>
      <c r="G35" s="2" t="s">
        <v>60</v>
      </c>
      <c r="I35" t="s">
        <v>12</v>
      </c>
      <c r="K35" t="str">
        <f t="shared" si="0"/>
        <v>2025-12-31,Provision Aide et Soutien familial,-50,,,1,2026-01-01,,M</v>
      </c>
    </row>
    <row r="36" spans="1:11" x14ac:dyDescent="0.35">
      <c r="A36" s="3" t="s">
        <v>24</v>
      </c>
      <c r="B36" t="s">
        <v>51</v>
      </c>
      <c r="C36">
        <v>-100</v>
      </c>
      <c r="F36">
        <v>1</v>
      </c>
      <c r="G36" s="2" t="s">
        <v>60</v>
      </c>
      <c r="I36" t="s">
        <v>12</v>
      </c>
      <c r="K36" t="str">
        <f t="shared" si="0"/>
        <v>2025-12-31,LDD (lili),-100,,,1,2026-01-01,,M</v>
      </c>
    </row>
    <row r="37" spans="1:11" x14ac:dyDescent="0.35">
      <c r="A37" s="3" t="s">
        <v>24</v>
      </c>
      <c r="B37" t="s">
        <v>52</v>
      </c>
      <c r="C37">
        <v>-10</v>
      </c>
      <c r="F37">
        <v>1</v>
      </c>
      <c r="G37" s="2" t="s">
        <v>60</v>
      </c>
      <c r="I37" t="s">
        <v>12</v>
      </c>
      <c r="K37" t="str">
        <f t="shared" si="0"/>
        <v>2025-12-31,Frais divers (prixtel, ...),-10,,,1,2026-01-01,,M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DF76-4248-45EE-B7E5-63DF9C1354FC}">
  <dimension ref="A1:A8"/>
  <sheetViews>
    <sheetView workbookViewId="0">
      <selection activeCell="C17" sqref="C17"/>
    </sheetView>
  </sheetViews>
  <sheetFormatPr defaultRowHeight="14.5" x14ac:dyDescent="0.35"/>
  <cols>
    <col min="1" max="1" width="24.7265625" customWidth="1"/>
  </cols>
  <sheetData>
    <row r="1" spans="1:1" x14ac:dyDescent="0.35">
      <c r="A1" t="s">
        <v>25</v>
      </c>
    </row>
    <row r="2" spans="1:1" x14ac:dyDescent="0.35">
      <c r="A2" t="s">
        <v>26</v>
      </c>
    </row>
    <row r="3" spans="1:1" x14ac:dyDescent="0.35">
      <c r="A3" t="s">
        <v>55</v>
      </c>
    </row>
    <row r="4" spans="1:1" x14ac:dyDescent="0.35">
      <c r="A4" t="s">
        <v>56</v>
      </c>
    </row>
    <row r="5" spans="1:1" x14ac:dyDescent="0.35">
      <c r="A5" t="s">
        <v>57</v>
      </c>
    </row>
    <row r="6" spans="1:1" x14ac:dyDescent="0.35">
      <c r="A6" t="s">
        <v>58</v>
      </c>
    </row>
    <row r="7" spans="1:1" x14ac:dyDescent="0.35">
      <c r="A7" t="s">
        <v>54</v>
      </c>
    </row>
    <row r="8" spans="1:1" x14ac:dyDescent="0.35">
      <c r="A8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comptes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Tsemengue</dc:creator>
  <cp:lastModifiedBy>Patrick Tsemengue</cp:lastModifiedBy>
  <dcterms:created xsi:type="dcterms:W3CDTF">2026-03-05T21:15:13Z</dcterms:created>
  <dcterms:modified xsi:type="dcterms:W3CDTF">2026-03-05T22:31:14Z</dcterms:modified>
</cp:coreProperties>
</file>