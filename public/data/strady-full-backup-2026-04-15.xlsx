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sem\Projects\strady\strady-budget\public\"/>
    </mc:Choice>
  </mc:AlternateContent>
  <xr:revisionPtr revIDLastSave="0" documentId="13_ncr:9_{41BBFF3D-9255-4E19-89AD-F5C4DB0EA6C4}" xr6:coauthVersionLast="47" xr6:coauthVersionMax="47" xr10:uidLastSave="{00000000-0000-0000-0000-000000000000}"/>
  <bookViews>
    <workbookView xWindow="-110" yWindow="-110" windowWidth="19420" windowHeight="10300" xr2:uid="{40477F73-9F94-4ABF-A1F1-E452C39F31D6}"/>
  </bookViews>
  <sheets>
    <sheet name="strady-full-backup-2026-04-15" sheetId="1" r:id="rId1"/>
  </sheets>
  <calcPr calcId="0"/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1" i="1"/>
</calcChain>
</file>

<file path=xl/sharedStrings.xml><?xml version="1.0" encoding="utf-8"?>
<sst xmlns="http://schemas.openxmlformats.org/spreadsheetml/2006/main" count="441" uniqueCount="107">
  <si>
    <t>Type</t>
  </si>
  <si>
    <t>Date</t>
  </si>
  <si>
    <t>Label</t>
  </si>
  <si>
    <t>Value</t>
  </si>
  <si>
    <t>Source</t>
  </si>
  <si>
    <t>Destination</t>
  </si>
  <si>
    <t>Category</t>
  </si>
  <si>
    <t>Icon</t>
  </si>
  <si>
    <t>Color</t>
  </si>
  <si>
    <t>Periodicity</t>
  </si>
  <si>
    <t>EndDate</t>
  </si>
  <si>
    <t>IsSaving</t>
  </si>
  <si>
    <t>ACCOUNT</t>
  </si>
  <si>
    <t>CATEGORY</t>
  </si>
  <si>
    <t>fa-coins</t>
  </si>
  <si>
    <t>#f43f5e</t>
  </si>
  <si>
    <t>fa-piggy-bank</t>
  </si>
  <si>
    <t>#f59e0b</t>
  </si>
  <si>
    <t>fa-file-shield</t>
  </si>
  <si>
    <t>fa-house</t>
  </si>
  <si>
    <t>#f97316</t>
  </si>
  <si>
    <t>fa-box-archive</t>
  </si>
  <si>
    <t>#14b8a6</t>
  </si>
  <si>
    <t>fa-receipt</t>
  </si>
  <si>
    <t>#ec4899</t>
  </si>
  <si>
    <t>fa-gift</t>
  </si>
  <si>
    <t>fa-bolt</t>
  </si>
  <si>
    <t>#fbbf24</t>
  </si>
  <si>
    <t>Alimentation</t>
  </si>
  <si>
    <t>RECURRING_TEMPLATE</t>
  </si>
  <si>
    <t>Croix Rouges</t>
  </si>
  <si>
    <t>external</t>
  </si>
  <si>
    <t>M</t>
  </si>
  <si>
    <t>Dette 30K</t>
  </si>
  <si>
    <t>Argent de poche</t>
  </si>
  <si>
    <t>Proximus</t>
  </si>
  <si>
    <t>Provision Taxes Communales</t>
  </si>
  <si>
    <t>Provision EP PENSION</t>
  </si>
  <si>
    <t>Provison Tema</t>
  </si>
  <si>
    <t>LDD (lili)</t>
  </si>
  <si>
    <t>Frais divers (prixtel, ...)</t>
  </si>
  <si>
    <t>Provision Daddy</t>
  </si>
  <si>
    <t>Provision Assurance CBC - habitation / Familiale</t>
  </si>
  <si>
    <t>Assurance Solde Restant dû</t>
  </si>
  <si>
    <t>(Ep) 1_10eme_Fri</t>
  </si>
  <si>
    <t>(Ep) 1_10eme_Mao</t>
  </si>
  <si>
    <t>(Ep) Ael</t>
  </si>
  <si>
    <t>(Ep) Aos</t>
  </si>
  <si>
    <t>(Ep) Enih</t>
  </si>
  <si>
    <t>(Pr) Depense_Non_Courante</t>
  </si>
  <si>
    <t>(Pr) Depense_Courante_Sante_Ecoles</t>
  </si>
  <si>
    <t>1-Revenue</t>
  </si>
  <si>
    <t>2-Saving</t>
  </si>
  <si>
    <t>7-Divers et hors budget</t>
  </si>
  <si>
    <t>(C) CBC</t>
  </si>
  <si>
    <t>(C) Belfius_Mao</t>
  </si>
  <si>
    <t>(C) Belfius_Fri</t>
  </si>
  <si>
    <t>Allowances</t>
  </si>
  <si>
    <t>ETF (Aos - Enih - Ael)</t>
  </si>
  <si>
    <t>Engie</t>
  </si>
  <si>
    <t>Swde</t>
  </si>
  <si>
    <t>Provison Revenu Cadastrale</t>
  </si>
  <si>
    <t>Provison Petites Vacances &amp; weekend</t>
  </si>
  <si>
    <t>Provision Aide et Soutien familial</t>
  </si>
  <si>
    <t>isInvestmentAccount</t>
  </si>
  <si>
    <t>(I) ETF_SAXO_ENFANTS</t>
  </si>
  <si>
    <t>(I) Saxo_Mao</t>
  </si>
  <si>
    <t>(I) Degiro_Mao</t>
  </si>
  <si>
    <t>2026-01-01</t>
  </si>
  <si>
    <t>2025-12-31</t>
  </si>
  <si>
    <t>Salary (Mao)</t>
  </si>
  <si>
    <t>Salary (Fri)</t>
  </si>
  <si>
    <t>1-10th (Mao)</t>
  </si>
  <si>
    <t>(Ep) Aos (Fri)</t>
  </si>
  <si>
    <t>(Ep) Enih (Fri)</t>
  </si>
  <si>
    <t>(Ep) Ael (Fri)</t>
  </si>
  <si>
    <t>1-10th (Fri)</t>
  </si>
  <si>
    <t>Frais Bancaire BELFIUS (mao)</t>
  </si>
  <si>
    <t>Argent de poche (mao)</t>
  </si>
  <si>
    <t>Frais Formation</t>
  </si>
  <si>
    <t>Provision  Sorties &amp; Resto</t>
  </si>
  <si>
    <t>Provision Yuzzu Assurance NISSAN</t>
  </si>
  <si>
    <t>Provison Nissan CT + TC</t>
  </si>
  <si>
    <t>Provision USA 2026</t>
  </si>
  <si>
    <t>Provison Noël</t>
  </si>
  <si>
    <t>Provison - Travaux Maison</t>
  </si>
  <si>
    <t>Provision SWDE</t>
  </si>
  <si>
    <t>Provision Engie</t>
  </si>
  <si>
    <t>Frais Bancaire BELFIUS (Fri)</t>
  </si>
  <si>
    <t>(Pr) Depense_Courante_Sante_Ecole</t>
  </si>
  <si>
    <t>Provision EP PENSION (Mao)</t>
  </si>
  <si>
    <t>Provison Petites Vacances &amp; weekend (mao)</t>
  </si>
  <si>
    <t>3-Depenses fixes</t>
  </si>
  <si>
    <t>4-Depenses variables</t>
  </si>
  <si>
    <t>5- Charges differees</t>
  </si>
  <si>
    <t>8-Discretionnaire</t>
  </si>
  <si>
    <t>Provision Mutualia -  Sante (mao)</t>
  </si>
  <si>
    <t>Provision Visite medicale - soins - pharmacie</t>
  </si>
  <si>
    <t>Provision Mutualia -  Sante</t>
  </si>
  <si>
    <t>Provision Auto Reparations</t>
  </si>
  <si>
    <t>CBC La Louviere</t>
  </si>
  <si>
    <t>Hygiene</t>
  </si>
  <si>
    <t>Provision Aide menagere</t>
  </si>
  <si>
    <t>Provision Hygiene-Tresse</t>
  </si>
  <si>
    <t>6-Bien-etre Programme</t>
  </si>
  <si>
    <t>Provision Garderie Activite Extra Scolaire + interets sur compte</t>
  </si>
  <si>
    <t>Provison Interets &amp; Divers hors budgets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</si>
</sst>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#,##0_ ;\-#,##0\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5" fontId="18" fillId="0" borderId="0" xfId="1" applyNumberFormat="1" applyFont="1" applyAlignment="1">
      <alignment horizontal="left" vertical="center"/>
    </xf>
    <xf numFmtId="14" fontId="0" fillId="0" borderId="0" xfId="0" quotePrefix="1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color rgb="FF9C0006"/>
      </font>
      <fill>
        <patternFill>
          <bgColor rgb="FFFFC7CE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80CF69-0ADC-4512-AAFD-3D16F421C736}" name="Table1" displayName="Table1" ref="A1:M73" totalsRowShown="0">
  <autoFilter ref="A1:M73" xr:uid="{2180CF69-0ADC-4512-AAFD-3D16F421C736}"/>
  <tableColumns count="13">
    <tableColumn id="1" xr3:uid="{C45AC903-9407-4E8F-9AF3-54E7A82D183C}" name="Type"/>
    <tableColumn id="2" xr3:uid="{B3F3D258-011A-448D-9E0C-95793364E2E0}" name="Date" dataDxfId="1"/>
    <tableColumn id="3" xr3:uid="{74944456-02AB-42F9-AE66-CB7B1DE79606}" name="Label"/>
    <tableColumn id="4" xr3:uid="{2B6ED587-3EA0-49A3-8139-2F792196DDA9}" name="Value"/>
    <tableColumn id="5" xr3:uid="{195B7846-1B6D-4E79-A49C-59E8383573F8}" name="Source"/>
    <tableColumn id="6" xr3:uid="{BB9953B1-41FC-4EDC-8C26-F9BB107EFFF8}" name="Destination"/>
    <tableColumn id="7" xr3:uid="{87144B2C-0629-4C58-B5BF-07917F9F3272}" name="Category"/>
    <tableColumn id="8" xr3:uid="{F5D3E4A6-7CB6-42F5-8381-E3B817503379}" name="Icon"/>
    <tableColumn id="9" xr3:uid="{F466417F-4C31-4CA2-AC4E-63F917631528}" name="Color"/>
    <tableColumn id="10" xr3:uid="{85F5CE7A-7C71-425C-9750-CA42DAD47DCC}" name="Periodicity"/>
    <tableColumn id="11" xr3:uid="{6BCFAB0E-C204-4AD5-89CA-BA38D5B69E64}" name="EndDate"/>
    <tableColumn id="12" xr3:uid="{875834BB-0DF6-4DEA-8735-FEBEDCD308C0}" name="IsSaving"/>
    <tableColumn id="13" xr3:uid="{02E78D19-92F6-4871-87DE-392942B00CB2}" name="isInvestmentAccou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8510-F758-4446-8DA6-263AC375AB4F}">
  <dimension ref="A1:O73"/>
  <sheetViews>
    <sheetView tabSelected="1" topLeftCell="L1" workbookViewId="0">
      <selection activeCell="O73" sqref="O1:O73"/>
    </sheetView>
  </sheetViews>
  <sheetFormatPr defaultRowHeight="14.5" x14ac:dyDescent="0.35"/>
  <cols>
    <col min="1" max="1" width="20" bestFit="1" customWidth="1"/>
    <col min="2" max="2" width="10.08984375" bestFit="1" customWidth="1"/>
    <col min="3" max="3" width="40" bestFit="1" customWidth="1"/>
    <col min="4" max="4" width="7.36328125" customWidth="1"/>
    <col min="5" max="5" width="20.1796875" bestFit="1" customWidth="1"/>
    <col min="6" max="6" width="29.54296875" bestFit="1" customWidth="1"/>
    <col min="7" max="7" width="14.54296875" bestFit="1" customWidth="1"/>
    <col min="8" max="8" width="16.453125" bestFit="1" customWidth="1"/>
    <col min="9" max="9" width="7.81640625" bestFit="1" customWidth="1"/>
    <col min="10" max="10" width="11.36328125" customWidth="1"/>
    <col min="11" max="11" width="10.08984375" bestFit="1" customWidth="1"/>
    <col min="12" max="12" width="9.36328125" customWidth="1"/>
    <col min="13" max="13" width="19.90625" customWidth="1"/>
    <col min="14" max="14" width="9.453125" customWidth="1"/>
    <col min="15" max="15" width="19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64</v>
      </c>
      <c r="O1" t="str">
        <f>""""&amp;A1&amp;""","""&amp;B1&amp;""","""&amp;C1&amp;""","""&amp;D1&amp;""","""&amp;E1&amp;""","""&amp;F1&amp;""","""&amp;G1&amp;""","""&amp;H1&amp;""","""&amp;I1&amp;""","""&amp;J1&amp;""","""&amp;K1&amp;""","""&amp;L1&amp;""","""&amp;M1&amp;""""</f>
        <v>"Type","Date","Label","Value","Source","Destination","Category","Icon","Color","Periodicity","EndDate","IsSaving","isInvestmentAccount"</v>
      </c>
    </row>
    <row r="2" spans="1:15" x14ac:dyDescent="0.35">
      <c r="A2" t="s">
        <v>12</v>
      </c>
      <c r="B2" s="3" t="s">
        <v>69</v>
      </c>
      <c r="C2" t="s">
        <v>44</v>
      </c>
      <c r="D2">
        <v>19637</v>
      </c>
      <c r="L2">
        <v>1</v>
      </c>
      <c r="O2" t="str">
        <f t="shared" ref="O2:O65" si="0">""""&amp;A2&amp;""","""&amp;B2&amp;""","""&amp;C2&amp;""","""&amp;D2&amp;""","""&amp;E2&amp;""","""&amp;F2&amp;""","""&amp;G2&amp;""","""&amp;H2&amp;""","""&amp;I2&amp;""","""&amp;J2&amp;""","""&amp;K2&amp;""","""&amp;L2&amp;""","""&amp;M2&amp;""""</f>
        <v>"ACCOUNT","2025-12-31","(Ep) 1_10eme_Fri","19637","","","","","","","","1",""</v>
      </c>
    </row>
    <row r="3" spans="1:15" x14ac:dyDescent="0.35">
      <c r="A3" t="s">
        <v>12</v>
      </c>
      <c r="B3" s="3" t="s">
        <v>69</v>
      </c>
      <c r="C3" t="s">
        <v>45</v>
      </c>
      <c r="D3">
        <v>1860</v>
      </c>
      <c r="L3">
        <v>1</v>
      </c>
      <c r="O3" t="str">
        <f t="shared" si="0"/>
        <v>"ACCOUNT","2025-12-31","(Ep) 1_10eme_Mao","1860","","","","","","","","1",""</v>
      </c>
    </row>
    <row r="4" spans="1:15" x14ac:dyDescent="0.35">
      <c r="A4" t="s">
        <v>12</v>
      </c>
      <c r="B4" s="3" t="s">
        <v>69</v>
      </c>
      <c r="C4" t="s">
        <v>46</v>
      </c>
      <c r="D4">
        <v>6207</v>
      </c>
      <c r="L4">
        <v>1</v>
      </c>
      <c r="O4" t="str">
        <f t="shared" si="0"/>
        <v>"ACCOUNT","2025-12-31","(Ep) Ael","6207","","","","","","","","1",""</v>
      </c>
    </row>
    <row r="5" spans="1:15" x14ac:dyDescent="0.35">
      <c r="A5" t="s">
        <v>12</v>
      </c>
      <c r="B5" s="3" t="s">
        <v>69</v>
      </c>
      <c r="C5" t="s">
        <v>47</v>
      </c>
      <c r="D5">
        <v>8700</v>
      </c>
      <c r="L5">
        <v>1</v>
      </c>
      <c r="O5" t="str">
        <f t="shared" si="0"/>
        <v>"ACCOUNT","2025-12-31","(Ep) Aos","8700","","","","","","","","1",""</v>
      </c>
    </row>
    <row r="6" spans="1:15" x14ac:dyDescent="0.35">
      <c r="A6" t="s">
        <v>12</v>
      </c>
      <c r="B6" s="3" t="s">
        <v>69</v>
      </c>
      <c r="C6" t="s">
        <v>48</v>
      </c>
      <c r="D6">
        <v>7674</v>
      </c>
      <c r="L6">
        <v>1</v>
      </c>
      <c r="O6" t="str">
        <f t="shared" si="0"/>
        <v>"ACCOUNT","2025-12-31","(Ep) Enih","7674","","","","","","","","1",""</v>
      </c>
    </row>
    <row r="7" spans="1:15" x14ac:dyDescent="0.35">
      <c r="A7" t="s">
        <v>12</v>
      </c>
      <c r="B7" s="3" t="s">
        <v>69</v>
      </c>
      <c r="C7" t="s">
        <v>49</v>
      </c>
      <c r="D7">
        <v>2596</v>
      </c>
      <c r="O7" t="str">
        <f t="shared" si="0"/>
        <v>"ACCOUNT","2025-12-31","(Pr) Depense_Non_Courante","2596","","","","","","","","",""</v>
      </c>
    </row>
    <row r="8" spans="1:15" x14ac:dyDescent="0.35">
      <c r="A8" t="s">
        <v>12</v>
      </c>
      <c r="B8" s="3" t="s">
        <v>69</v>
      </c>
      <c r="C8" t="s">
        <v>89</v>
      </c>
      <c r="D8">
        <v>7351</v>
      </c>
      <c r="O8" t="str">
        <f t="shared" si="0"/>
        <v>"ACCOUNT","2025-12-31","(Pr) Depense_Courante_Sante_Ecole","7351","","","","","","","","",""</v>
      </c>
    </row>
    <row r="9" spans="1:15" x14ac:dyDescent="0.35">
      <c r="A9" t="s">
        <v>12</v>
      </c>
      <c r="B9" s="3" t="s">
        <v>69</v>
      </c>
      <c r="C9" t="s">
        <v>54</v>
      </c>
      <c r="D9">
        <v>0</v>
      </c>
      <c r="O9" t="str">
        <f t="shared" si="0"/>
        <v>"ACCOUNT","2025-12-31","(C) CBC","0","","","","","","","","",""</v>
      </c>
    </row>
    <row r="10" spans="1:15" x14ac:dyDescent="0.35">
      <c r="A10" t="s">
        <v>12</v>
      </c>
      <c r="B10" s="3" t="s">
        <v>69</v>
      </c>
      <c r="C10" t="s">
        <v>55</v>
      </c>
      <c r="D10">
        <v>0</v>
      </c>
      <c r="O10" t="str">
        <f t="shared" si="0"/>
        <v>"ACCOUNT","2025-12-31","(C) Belfius_Mao","0","","","","","","","","",""</v>
      </c>
    </row>
    <row r="11" spans="1:15" x14ac:dyDescent="0.35">
      <c r="A11" t="s">
        <v>12</v>
      </c>
      <c r="B11" s="3" t="s">
        <v>69</v>
      </c>
      <c r="C11" t="s">
        <v>56</v>
      </c>
      <c r="D11">
        <v>0</v>
      </c>
      <c r="O11" t="str">
        <f t="shared" si="0"/>
        <v>"ACCOUNT","2025-12-31","(C) Belfius_Fri","0","","","","","","","","",""</v>
      </c>
    </row>
    <row r="12" spans="1:15" x14ac:dyDescent="0.35">
      <c r="A12" t="s">
        <v>12</v>
      </c>
      <c r="B12" s="3" t="s">
        <v>69</v>
      </c>
      <c r="C12" t="s">
        <v>65</v>
      </c>
      <c r="D12">
        <v>7000</v>
      </c>
      <c r="M12">
        <v>1</v>
      </c>
      <c r="O12" t="str">
        <f t="shared" si="0"/>
        <v>"ACCOUNT","2025-12-31","(I) ETF_SAXO_ENFANTS","7000","","","","","","","","","1"</v>
      </c>
    </row>
    <row r="13" spans="1:15" x14ac:dyDescent="0.35">
      <c r="A13" t="s">
        <v>12</v>
      </c>
      <c r="B13" s="3" t="s">
        <v>69</v>
      </c>
      <c r="C13" t="s">
        <v>66</v>
      </c>
      <c r="D13">
        <v>45000</v>
      </c>
      <c r="M13">
        <v>1</v>
      </c>
      <c r="O13" t="str">
        <f t="shared" si="0"/>
        <v>"ACCOUNT","2025-12-31","(I) Saxo_Mao","45000","","","","","","","","","1"</v>
      </c>
    </row>
    <row r="14" spans="1:15" x14ac:dyDescent="0.35">
      <c r="A14" t="s">
        <v>12</v>
      </c>
      <c r="B14" s="3" t="s">
        <v>69</v>
      </c>
      <c r="C14" t="s">
        <v>67</v>
      </c>
      <c r="D14">
        <v>24000</v>
      </c>
      <c r="M14">
        <v>1</v>
      </c>
      <c r="O14" t="str">
        <f t="shared" si="0"/>
        <v>"ACCOUNT","2025-12-31","(I) Degiro_Mao","24000","","","","","","","","","1"</v>
      </c>
    </row>
    <row r="15" spans="1:15" x14ac:dyDescent="0.35">
      <c r="A15" t="s">
        <v>13</v>
      </c>
      <c r="C15" t="s">
        <v>51</v>
      </c>
      <c r="H15" t="s">
        <v>14</v>
      </c>
      <c r="I15" t="s">
        <v>15</v>
      </c>
      <c r="O15" t="str">
        <f t="shared" si="0"/>
        <v>"CATEGORY","","1-Revenue","","","","","fa-coins","#f43f5e","","","",""</v>
      </c>
    </row>
    <row r="16" spans="1:15" x14ac:dyDescent="0.35">
      <c r="A16" t="s">
        <v>13</v>
      </c>
      <c r="C16" t="s">
        <v>52</v>
      </c>
      <c r="H16" t="s">
        <v>16</v>
      </c>
      <c r="I16" t="s">
        <v>17</v>
      </c>
      <c r="O16" t="str">
        <f t="shared" si="0"/>
        <v>"CATEGORY","","2-Saving","","","","","fa-piggy-bank","#f59e0b","","","",""</v>
      </c>
    </row>
    <row r="17" spans="1:15" x14ac:dyDescent="0.35">
      <c r="A17" t="s">
        <v>13</v>
      </c>
      <c r="C17" s="2" t="s">
        <v>92</v>
      </c>
      <c r="H17" t="s">
        <v>18</v>
      </c>
      <c r="I17" t="s">
        <v>17</v>
      </c>
      <c r="O17" t="str">
        <f t="shared" si="0"/>
        <v>"CATEGORY","","3-Depenses fixes","","","","","fa-file-shield","#f59e0b","","","",""</v>
      </c>
    </row>
    <row r="18" spans="1:15" x14ac:dyDescent="0.35">
      <c r="A18" t="s">
        <v>13</v>
      </c>
      <c r="C18" t="s">
        <v>93</v>
      </c>
      <c r="H18" t="s">
        <v>19</v>
      </c>
      <c r="I18" t="s">
        <v>20</v>
      </c>
      <c r="O18" t="str">
        <f t="shared" si="0"/>
        <v>"CATEGORY","","4-Depenses variables","","","","","fa-house","#f97316","","","",""</v>
      </c>
    </row>
    <row r="19" spans="1:15" x14ac:dyDescent="0.35">
      <c r="A19" t="s">
        <v>13</v>
      </c>
      <c r="C19" t="s">
        <v>94</v>
      </c>
      <c r="H19" t="s">
        <v>21</v>
      </c>
      <c r="I19" t="s">
        <v>22</v>
      </c>
      <c r="O19" t="str">
        <f t="shared" si="0"/>
        <v>"CATEGORY","","5- Charges differees","","","","","fa-box-archive","#14b8a6","","","",""</v>
      </c>
    </row>
    <row r="20" spans="1:15" x14ac:dyDescent="0.35">
      <c r="A20" t="s">
        <v>13</v>
      </c>
      <c r="C20" t="s">
        <v>104</v>
      </c>
      <c r="H20" t="s">
        <v>23</v>
      </c>
      <c r="I20" t="s">
        <v>24</v>
      </c>
      <c r="O20" t="str">
        <f t="shared" si="0"/>
        <v>"CATEGORY","","6-Bien-etre Programme","","","","","fa-receipt","#ec4899","","","",""</v>
      </c>
    </row>
    <row r="21" spans="1:15" x14ac:dyDescent="0.35">
      <c r="A21" t="s">
        <v>13</v>
      </c>
      <c r="C21" t="s">
        <v>53</v>
      </c>
      <c r="H21" t="s">
        <v>25</v>
      </c>
      <c r="I21" t="s">
        <v>22</v>
      </c>
      <c r="O21" t="str">
        <f t="shared" si="0"/>
        <v>"CATEGORY","","7-Divers et hors budget","","","","","fa-gift","#14b8a6","","","",""</v>
      </c>
    </row>
    <row r="22" spans="1:15" x14ac:dyDescent="0.35">
      <c r="A22" t="s">
        <v>13</v>
      </c>
      <c r="C22" t="s">
        <v>95</v>
      </c>
      <c r="H22" t="s">
        <v>26</v>
      </c>
      <c r="I22" t="s">
        <v>27</v>
      </c>
      <c r="O22" t="str">
        <f t="shared" si="0"/>
        <v>"CATEGORY","","8-Discretionnaire","","","","","fa-bolt","#fbbf24","","","",""</v>
      </c>
    </row>
    <row r="23" spans="1:15" x14ac:dyDescent="0.35">
      <c r="A23" t="s">
        <v>29</v>
      </c>
      <c r="B23" s="3" t="s">
        <v>68</v>
      </c>
      <c r="C23" t="s">
        <v>70</v>
      </c>
      <c r="D23">
        <v>3000</v>
      </c>
      <c r="E23" t="s">
        <v>31</v>
      </c>
      <c r="F23" t="s">
        <v>54</v>
      </c>
      <c r="G23" t="s">
        <v>51</v>
      </c>
      <c r="J23" t="s">
        <v>32</v>
      </c>
      <c r="K23" s="1"/>
      <c r="O23" t="str">
        <f t="shared" si="0"/>
        <v>"RECURRING_TEMPLATE","2026-01-01","Salary (Mao)","3000","external","(C) CBC","1-Revenue","","","M","","",""</v>
      </c>
    </row>
    <row r="24" spans="1:15" x14ac:dyDescent="0.35">
      <c r="A24" t="s">
        <v>29</v>
      </c>
      <c r="B24" s="3" t="s">
        <v>68</v>
      </c>
      <c r="C24" t="s">
        <v>57</v>
      </c>
      <c r="D24">
        <v>594</v>
      </c>
      <c r="E24" t="s">
        <v>31</v>
      </c>
      <c r="F24" t="s">
        <v>55</v>
      </c>
      <c r="G24" t="s">
        <v>52</v>
      </c>
      <c r="J24" t="s">
        <v>32</v>
      </c>
      <c r="K24" s="1"/>
      <c r="O24" t="str">
        <f t="shared" si="0"/>
        <v>"RECURRING_TEMPLATE","2026-01-01","Allowances","594","external","(C) Belfius_Mao","2-Saving","","","M","","",""</v>
      </c>
    </row>
    <row r="25" spans="1:15" x14ac:dyDescent="0.35">
      <c r="A25" t="s">
        <v>29</v>
      </c>
      <c r="B25" s="3" t="s">
        <v>68</v>
      </c>
      <c r="C25" t="s">
        <v>72</v>
      </c>
      <c r="D25">
        <v>50</v>
      </c>
      <c r="E25" t="s">
        <v>54</v>
      </c>
      <c r="F25" t="s">
        <v>45</v>
      </c>
      <c r="G25" t="s">
        <v>52</v>
      </c>
      <c r="J25" t="s">
        <v>32</v>
      </c>
      <c r="K25" s="1"/>
      <c r="O25" t="str">
        <f t="shared" si="0"/>
        <v>"RECURRING_TEMPLATE","2026-01-01","1-10th (Mao)","50","(C) CBC","(Ep) 1_10eme_Mao","2-Saving","","","M","","",""</v>
      </c>
    </row>
    <row r="26" spans="1:15" x14ac:dyDescent="0.35">
      <c r="A26" t="s">
        <v>29</v>
      </c>
      <c r="B26" s="3" t="s">
        <v>68</v>
      </c>
      <c r="C26" t="s">
        <v>58</v>
      </c>
      <c r="D26">
        <v>150</v>
      </c>
      <c r="E26" t="s">
        <v>54</v>
      </c>
      <c r="F26" t="s">
        <v>65</v>
      </c>
      <c r="G26" t="s">
        <v>52</v>
      </c>
      <c r="J26" t="s">
        <v>32</v>
      </c>
      <c r="K26" s="1"/>
      <c r="O26" t="str">
        <f t="shared" si="0"/>
        <v>"RECURRING_TEMPLATE","2026-01-01","ETF (Aos - Enih - Ael)","150","(C) CBC","(I) ETF_SAXO_ENFANTS","2-Saving","","","M","","",""</v>
      </c>
    </row>
    <row r="27" spans="1:15" x14ac:dyDescent="0.35">
      <c r="A27" t="s">
        <v>29</v>
      </c>
      <c r="B27" s="3" t="s">
        <v>68</v>
      </c>
      <c r="C27" t="s">
        <v>100</v>
      </c>
      <c r="D27">
        <v>1152</v>
      </c>
      <c r="E27" t="s">
        <v>54</v>
      </c>
      <c r="F27" t="s">
        <v>31</v>
      </c>
      <c r="G27" s="2" t="s">
        <v>92</v>
      </c>
      <c r="J27" t="s">
        <v>32</v>
      </c>
      <c r="K27" s="1"/>
      <c r="O27" t="str">
        <f t="shared" si="0"/>
        <v>"RECURRING_TEMPLATE","2026-01-01","CBC La Louviere","1152","(C) CBC","external","3-Depenses fixes","","","M","","",""</v>
      </c>
    </row>
    <row r="28" spans="1:15" x14ac:dyDescent="0.35">
      <c r="A28" t="s">
        <v>29</v>
      </c>
      <c r="B28" s="3" t="s">
        <v>68</v>
      </c>
      <c r="C28" t="s">
        <v>43</v>
      </c>
      <c r="D28">
        <v>60</v>
      </c>
      <c r="E28" t="s">
        <v>54</v>
      </c>
      <c r="F28" t="s">
        <v>31</v>
      </c>
      <c r="G28" s="2" t="s">
        <v>92</v>
      </c>
      <c r="J28" t="s">
        <v>32</v>
      </c>
      <c r="K28" s="1"/>
      <c r="O28" t="str">
        <f t="shared" si="0"/>
        <v>"RECURRING_TEMPLATE","2026-01-01","Assurance Solde Restant dû","60","(C) CBC","external","3-Depenses fixes","","","M","","",""</v>
      </c>
    </row>
    <row r="29" spans="1:15" x14ac:dyDescent="0.35">
      <c r="A29" t="s">
        <v>29</v>
      </c>
      <c r="B29" s="3" t="s">
        <v>68</v>
      </c>
      <c r="C29" t="s">
        <v>33</v>
      </c>
      <c r="D29">
        <v>478</v>
      </c>
      <c r="E29" t="s">
        <v>54</v>
      </c>
      <c r="F29" t="s">
        <v>31</v>
      </c>
      <c r="G29" s="2" t="s">
        <v>92</v>
      </c>
      <c r="J29" t="s">
        <v>32</v>
      </c>
      <c r="K29" s="1"/>
      <c r="O29" t="str">
        <f t="shared" si="0"/>
        <v>"RECURRING_TEMPLATE","2026-01-01","Dette 30K","478","(C) CBC","external","3-Depenses fixes","","","M","","",""</v>
      </c>
    </row>
    <row r="30" spans="1:15" x14ac:dyDescent="0.35">
      <c r="A30" t="s">
        <v>29</v>
      </c>
      <c r="B30" s="3" t="s">
        <v>68</v>
      </c>
      <c r="C30" t="s">
        <v>59</v>
      </c>
      <c r="D30">
        <v>380</v>
      </c>
      <c r="E30" t="s">
        <v>54</v>
      </c>
      <c r="F30" t="s">
        <v>31</v>
      </c>
      <c r="G30" s="2" t="s">
        <v>92</v>
      </c>
      <c r="J30" t="s">
        <v>32</v>
      </c>
      <c r="K30" s="1"/>
      <c r="O30" t="str">
        <f t="shared" si="0"/>
        <v>"RECURRING_TEMPLATE","2026-01-01","Engie","380","(C) CBC","external","3-Depenses fixes","","","M","","",""</v>
      </c>
    </row>
    <row r="31" spans="1:15" x14ac:dyDescent="0.35">
      <c r="A31" t="s">
        <v>29</v>
      </c>
      <c r="B31" s="3" t="s">
        <v>68</v>
      </c>
      <c r="C31" t="s">
        <v>60</v>
      </c>
      <c r="D31">
        <v>237</v>
      </c>
      <c r="E31" t="s">
        <v>54</v>
      </c>
      <c r="F31" t="s">
        <v>31</v>
      </c>
      <c r="G31" s="2" t="s">
        <v>92</v>
      </c>
      <c r="J31" t="s">
        <v>32</v>
      </c>
      <c r="K31" s="1"/>
      <c r="O31" t="str">
        <f t="shared" si="0"/>
        <v>"RECURRING_TEMPLATE","2026-01-01","Swde","237","(C) CBC","external","3-Depenses fixes","","","M","","",""</v>
      </c>
    </row>
    <row r="32" spans="1:15" x14ac:dyDescent="0.35">
      <c r="A32" t="s">
        <v>29</v>
      </c>
      <c r="B32" s="3" t="s">
        <v>68</v>
      </c>
      <c r="C32" t="s">
        <v>28</v>
      </c>
      <c r="D32">
        <v>400</v>
      </c>
      <c r="E32" t="s">
        <v>54</v>
      </c>
      <c r="F32" t="s">
        <v>31</v>
      </c>
      <c r="G32" s="2" t="s">
        <v>92</v>
      </c>
      <c r="J32" t="s">
        <v>32</v>
      </c>
      <c r="K32" s="1"/>
      <c r="O32" t="str">
        <f t="shared" si="0"/>
        <v>"RECURRING_TEMPLATE","2026-01-01","Alimentation","400","(C) CBC","external","3-Depenses fixes","","","M","","",""</v>
      </c>
    </row>
    <row r="33" spans="1:15" x14ac:dyDescent="0.35">
      <c r="A33" t="s">
        <v>29</v>
      </c>
      <c r="B33" s="3" t="s">
        <v>68</v>
      </c>
      <c r="C33" t="s">
        <v>101</v>
      </c>
      <c r="D33">
        <v>275</v>
      </c>
      <c r="E33" t="s">
        <v>55</v>
      </c>
      <c r="F33" t="s">
        <v>31</v>
      </c>
      <c r="G33" s="2" t="s">
        <v>92</v>
      </c>
      <c r="J33" t="s">
        <v>32</v>
      </c>
      <c r="K33" s="1"/>
      <c r="O33" t="str">
        <f t="shared" si="0"/>
        <v>"RECURRING_TEMPLATE","2026-01-01","Hygiene","275","(C) Belfius_Mao","external","3-Depenses fixes","","","M","","",""</v>
      </c>
    </row>
    <row r="34" spans="1:15" x14ac:dyDescent="0.35">
      <c r="A34" t="s">
        <v>29</v>
      </c>
      <c r="B34" s="3" t="s">
        <v>68</v>
      </c>
      <c r="C34" t="s">
        <v>35</v>
      </c>
      <c r="D34">
        <v>52</v>
      </c>
      <c r="E34" t="s">
        <v>54</v>
      </c>
      <c r="F34" t="s">
        <v>31</v>
      </c>
      <c r="G34" s="2" t="s">
        <v>92</v>
      </c>
      <c r="J34" t="s">
        <v>32</v>
      </c>
      <c r="K34" s="1"/>
      <c r="O34" t="str">
        <f t="shared" si="0"/>
        <v>"RECURRING_TEMPLATE","2026-01-01","Proximus","52","(C) CBC","external","3-Depenses fixes","","","M","","",""</v>
      </c>
    </row>
    <row r="35" spans="1:15" x14ac:dyDescent="0.35">
      <c r="A35" t="s">
        <v>29</v>
      </c>
      <c r="B35" s="3" t="s">
        <v>68</v>
      </c>
      <c r="C35" t="s">
        <v>77</v>
      </c>
      <c r="D35">
        <v>5</v>
      </c>
      <c r="E35" t="s">
        <v>54</v>
      </c>
      <c r="F35" t="s">
        <v>31</v>
      </c>
      <c r="G35" s="2" t="s">
        <v>92</v>
      </c>
      <c r="J35" t="s">
        <v>32</v>
      </c>
      <c r="K35" s="1"/>
      <c r="O35" t="str">
        <f t="shared" si="0"/>
        <v>"RECURRING_TEMPLATE","2026-01-01","Frais Bancaire BELFIUS (mao)","5","(C) CBC","external","3-Depenses fixes","","","M","","",""</v>
      </c>
    </row>
    <row r="36" spans="1:15" x14ac:dyDescent="0.35">
      <c r="A36" t="s">
        <v>29</v>
      </c>
      <c r="B36" s="3" t="s">
        <v>68</v>
      </c>
      <c r="C36" t="s">
        <v>78</v>
      </c>
      <c r="D36">
        <v>11</v>
      </c>
      <c r="E36" t="s">
        <v>54</v>
      </c>
      <c r="F36" t="s">
        <v>31</v>
      </c>
      <c r="G36" s="2" t="s">
        <v>92</v>
      </c>
      <c r="J36" t="s">
        <v>32</v>
      </c>
      <c r="K36" s="1"/>
      <c r="O36" t="str">
        <f t="shared" si="0"/>
        <v>"RECURRING_TEMPLATE","2026-01-01","Argent de poche (mao)","11","(C) CBC","external","3-Depenses fixes","","","M","","",""</v>
      </c>
    </row>
    <row r="37" spans="1:15" x14ac:dyDescent="0.35">
      <c r="A37" t="s">
        <v>29</v>
      </c>
      <c r="B37" s="3" t="s">
        <v>68</v>
      </c>
      <c r="C37" t="s">
        <v>30</v>
      </c>
      <c r="D37">
        <v>14</v>
      </c>
      <c r="E37" t="s">
        <v>54</v>
      </c>
      <c r="F37" t="s">
        <v>31</v>
      </c>
      <c r="G37" s="2" t="s">
        <v>92</v>
      </c>
      <c r="J37" t="s">
        <v>32</v>
      </c>
      <c r="K37" s="1"/>
      <c r="O37" t="str">
        <f t="shared" si="0"/>
        <v>"RECURRING_TEMPLATE","2026-01-01","Croix Rouges","14","(C) CBC","external","3-Depenses fixes","","","M","","",""</v>
      </c>
    </row>
    <row r="38" spans="1:15" x14ac:dyDescent="0.35">
      <c r="A38" t="s">
        <v>29</v>
      </c>
      <c r="B38" s="3" t="s">
        <v>68</v>
      </c>
      <c r="C38" t="s">
        <v>96</v>
      </c>
      <c r="D38">
        <v>15</v>
      </c>
      <c r="E38" t="s">
        <v>54</v>
      </c>
      <c r="F38" t="s">
        <v>31</v>
      </c>
      <c r="G38" s="2" t="s">
        <v>92</v>
      </c>
      <c r="J38" t="s">
        <v>32</v>
      </c>
      <c r="K38" s="1"/>
      <c r="O38" t="str">
        <f t="shared" si="0"/>
        <v>"RECURRING_TEMPLATE","2026-01-01","Provision Mutualia -  Sante (mao)","15","(C) CBC","external","3-Depenses fixes","","","M","","",""</v>
      </c>
    </row>
    <row r="39" spans="1:15" x14ac:dyDescent="0.35">
      <c r="A39" t="s">
        <v>29</v>
      </c>
      <c r="B39" s="3" t="s">
        <v>68</v>
      </c>
      <c r="C39" t="s">
        <v>42</v>
      </c>
      <c r="D39">
        <v>65</v>
      </c>
      <c r="E39" t="s">
        <v>55</v>
      </c>
      <c r="F39" t="s">
        <v>50</v>
      </c>
      <c r="G39" t="s">
        <v>94</v>
      </c>
      <c r="J39" t="s">
        <v>32</v>
      </c>
      <c r="K39" s="1"/>
      <c r="O39" t="str">
        <f t="shared" si="0"/>
        <v>"RECURRING_TEMPLATE","2026-01-01","Provision Assurance CBC - habitation / Familiale","65","(C) Belfius_Mao","(Pr) Depense_Courante_Sante_Ecoles","5- Charges differees","","","M","","",""</v>
      </c>
    </row>
    <row r="40" spans="1:15" x14ac:dyDescent="0.35">
      <c r="A40" t="s">
        <v>29</v>
      </c>
      <c r="B40" s="3" t="s">
        <v>68</v>
      </c>
      <c r="C40" t="s">
        <v>61</v>
      </c>
      <c r="D40">
        <v>125</v>
      </c>
      <c r="E40" t="s">
        <v>55</v>
      </c>
      <c r="F40" t="s">
        <v>50</v>
      </c>
      <c r="G40" t="s">
        <v>94</v>
      </c>
      <c r="J40" t="s">
        <v>32</v>
      </c>
      <c r="K40" s="1"/>
      <c r="O40" t="str">
        <f t="shared" si="0"/>
        <v>"RECURRING_TEMPLATE","2026-01-01","Provison Revenu Cadastrale","125","(C) Belfius_Mao","(Pr) Depense_Courante_Sante_Ecoles","5- Charges differees","","","M","","",""</v>
      </c>
    </row>
    <row r="41" spans="1:15" x14ac:dyDescent="0.35">
      <c r="A41" t="s">
        <v>29</v>
      </c>
      <c r="B41" s="3" t="s">
        <v>68</v>
      </c>
      <c r="C41" t="s">
        <v>36</v>
      </c>
      <c r="D41">
        <v>25</v>
      </c>
      <c r="E41" t="s">
        <v>55</v>
      </c>
      <c r="F41" t="s">
        <v>50</v>
      </c>
      <c r="G41" t="s">
        <v>94</v>
      </c>
      <c r="J41" t="s">
        <v>32</v>
      </c>
      <c r="K41" s="1"/>
      <c r="O41" t="str">
        <f t="shared" si="0"/>
        <v>"RECURRING_TEMPLATE","2026-01-01","Provision Taxes Communales","25","(C) Belfius_Mao","(Pr) Depense_Courante_Sante_Ecoles","5- Charges differees","","","M","","",""</v>
      </c>
    </row>
    <row r="42" spans="1:15" x14ac:dyDescent="0.35">
      <c r="A42" t="s">
        <v>29</v>
      </c>
      <c r="B42" s="3" t="s">
        <v>68</v>
      </c>
      <c r="C42" t="s">
        <v>90</v>
      </c>
      <c r="D42">
        <v>90</v>
      </c>
      <c r="E42" t="s">
        <v>55</v>
      </c>
      <c r="F42" t="s">
        <v>50</v>
      </c>
      <c r="G42" t="s">
        <v>94</v>
      </c>
      <c r="J42" t="s">
        <v>32</v>
      </c>
      <c r="K42" s="1"/>
      <c r="O42" t="str">
        <f t="shared" si="0"/>
        <v>"RECURRING_TEMPLATE","2026-01-01","Provision EP PENSION (Mao)","90","(C) Belfius_Mao","(Pr) Depense_Courante_Sante_Ecoles","5- Charges differees","","","M","","",""</v>
      </c>
    </row>
    <row r="43" spans="1:15" x14ac:dyDescent="0.35">
      <c r="A43" t="s">
        <v>29</v>
      </c>
      <c r="B43" s="3" t="s">
        <v>68</v>
      </c>
      <c r="C43" t="s">
        <v>91</v>
      </c>
      <c r="E43" t="s">
        <v>55</v>
      </c>
      <c r="F43" t="s">
        <v>50</v>
      </c>
      <c r="G43" t="s">
        <v>104</v>
      </c>
      <c r="J43" t="s">
        <v>32</v>
      </c>
      <c r="K43" s="1"/>
      <c r="O43" t="str">
        <f t="shared" si="0"/>
        <v>"RECURRING_TEMPLATE","2026-01-01","Provison Petites Vacances &amp; weekend (mao)","","(C) Belfius_Mao","(Pr) Depense_Courante_Sante_Ecoles","6-Bien-etre Programme","","","M","","",""</v>
      </c>
    </row>
    <row r="44" spans="1:15" x14ac:dyDescent="0.35">
      <c r="A44" t="s">
        <v>29</v>
      </c>
      <c r="B44" s="3" t="s">
        <v>68</v>
      </c>
      <c r="C44" t="s">
        <v>63</v>
      </c>
      <c r="D44">
        <v>50</v>
      </c>
      <c r="E44" t="s">
        <v>54</v>
      </c>
      <c r="F44" t="s">
        <v>31</v>
      </c>
      <c r="G44" t="s">
        <v>95</v>
      </c>
      <c r="J44" t="s">
        <v>32</v>
      </c>
      <c r="K44" s="1"/>
      <c r="O44" t="str">
        <f t="shared" si="0"/>
        <v>"RECURRING_TEMPLATE","2026-01-01","Provision Aide et Soutien familial","50","(C) CBC","external","8-Discretionnaire","","","M","","",""</v>
      </c>
    </row>
    <row r="45" spans="1:15" x14ac:dyDescent="0.35">
      <c r="A45" t="s">
        <v>29</v>
      </c>
      <c r="B45" s="3" t="s">
        <v>68</v>
      </c>
      <c r="C45" t="s">
        <v>39</v>
      </c>
      <c r="D45">
        <v>100</v>
      </c>
      <c r="E45" t="s">
        <v>54</v>
      </c>
      <c r="F45" t="s">
        <v>31</v>
      </c>
      <c r="G45" t="s">
        <v>95</v>
      </c>
      <c r="J45" t="s">
        <v>32</v>
      </c>
      <c r="K45" s="1"/>
      <c r="O45" t="str">
        <f t="shared" si="0"/>
        <v>"RECURRING_TEMPLATE","2026-01-01","LDD (lili)","100","(C) CBC","external","8-Discretionnaire","","","M","","",""</v>
      </c>
    </row>
    <row r="46" spans="1:15" x14ac:dyDescent="0.35">
      <c r="A46" t="s">
        <v>29</v>
      </c>
      <c r="B46" s="3" t="s">
        <v>68</v>
      </c>
      <c r="C46" t="s">
        <v>40</v>
      </c>
      <c r="D46">
        <v>10</v>
      </c>
      <c r="E46" t="s">
        <v>54</v>
      </c>
      <c r="F46" t="s">
        <v>31</v>
      </c>
      <c r="G46" t="s">
        <v>95</v>
      </c>
      <c r="J46" t="s">
        <v>32</v>
      </c>
      <c r="K46" s="1"/>
      <c r="O46" t="str">
        <f t="shared" si="0"/>
        <v>"RECURRING_TEMPLATE","2026-01-01","Frais divers (prixtel, ...)","10","(C) CBC","external","8-Discretionnaire","","","M","","",""</v>
      </c>
    </row>
    <row r="47" spans="1:15" x14ac:dyDescent="0.35">
      <c r="A47" t="s">
        <v>29</v>
      </c>
      <c r="B47" s="3" t="s">
        <v>68</v>
      </c>
      <c r="C47" t="s">
        <v>71</v>
      </c>
      <c r="D47">
        <v>1900</v>
      </c>
      <c r="E47" t="s">
        <v>31</v>
      </c>
      <c r="F47" t="s">
        <v>56</v>
      </c>
      <c r="G47" t="s">
        <v>51</v>
      </c>
      <c r="J47" t="s">
        <v>32</v>
      </c>
      <c r="O47" t="str">
        <f t="shared" si="0"/>
        <v>"RECURRING_TEMPLATE","2026-01-01","Salary (Fri)","1900","external","(C) Belfius_Fri","1-Revenue","","","M","","",""</v>
      </c>
    </row>
    <row r="48" spans="1:15" x14ac:dyDescent="0.35">
      <c r="A48" t="s">
        <v>29</v>
      </c>
      <c r="B48" s="3" t="s">
        <v>68</v>
      </c>
      <c r="C48" t="s">
        <v>76</v>
      </c>
      <c r="D48">
        <v>300</v>
      </c>
      <c r="E48" t="s">
        <v>56</v>
      </c>
      <c r="F48" t="s">
        <v>44</v>
      </c>
      <c r="G48" t="s">
        <v>52</v>
      </c>
      <c r="J48" t="s">
        <v>32</v>
      </c>
      <c r="O48" t="str">
        <f t="shared" si="0"/>
        <v>"RECURRING_TEMPLATE","2026-01-01","1-10th (Fri)","300","(C) Belfius_Fri","(Ep) 1_10eme_Fri","2-Saving","","","M","","",""</v>
      </c>
    </row>
    <row r="49" spans="1:15" x14ac:dyDescent="0.35">
      <c r="A49" t="s">
        <v>29</v>
      </c>
      <c r="B49" s="3" t="s">
        <v>68</v>
      </c>
      <c r="C49" t="s">
        <v>73</v>
      </c>
      <c r="D49">
        <v>100</v>
      </c>
      <c r="E49" t="s">
        <v>56</v>
      </c>
      <c r="F49" t="s">
        <v>46</v>
      </c>
      <c r="G49" t="s">
        <v>52</v>
      </c>
      <c r="J49" t="s">
        <v>32</v>
      </c>
      <c r="K49" s="1"/>
      <c r="O49" t="str">
        <f t="shared" si="0"/>
        <v>"RECURRING_TEMPLATE","2026-01-01","(Ep) Aos (Fri)","100","(C) Belfius_Fri","(Ep) Ael","2-Saving","","","M","","",""</v>
      </c>
    </row>
    <row r="50" spans="1:15" x14ac:dyDescent="0.35">
      <c r="A50" t="s">
        <v>29</v>
      </c>
      <c r="B50" s="3" t="s">
        <v>68</v>
      </c>
      <c r="C50" t="s">
        <v>74</v>
      </c>
      <c r="D50">
        <v>100</v>
      </c>
      <c r="E50" t="s">
        <v>56</v>
      </c>
      <c r="F50" t="s">
        <v>47</v>
      </c>
      <c r="G50" t="s">
        <v>52</v>
      </c>
      <c r="J50" t="s">
        <v>32</v>
      </c>
      <c r="K50" s="1"/>
      <c r="O50" t="str">
        <f t="shared" si="0"/>
        <v>"RECURRING_TEMPLATE","2026-01-01","(Ep) Enih (Fri)","100","(C) Belfius_Fri","(Ep) Aos","2-Saving","","","M","","",""</v>
      </c>
    </row>
    <row r="51" spans="1:15" x14ac:dyDescent="0.35">
      <c r="A51" t="s">
        <v>29</v>
      </c>
      <c r="B51" s="3" t="s">
        <v>68</v>
      </c>
      <c r="C51" t="s">
        <v>75</v>
      </c>
      <c r="D51">
        <v>100</v>
      </c>
      <c r="E51" t="s">
        <v>56</v>
      </c>
      <c r="F51" t="s">
        <v>48</v>
      </c>
      <c r="G51" t="s">
        <v>52</v>
      </c>
      <c r="J51" t="s">
        <v>32</v>
      </c>
      <c r="K51" s="1"/>
      <c r="O51" t="str">
        <f t="shared" si="0"/>
        <v>"RECURRING_TEMPLATE","2026-01-01","(Ep) Ael (Fri)","100","(C) Belfius_Fri","(Ep) Enih","2-Saving","","","M","","",""</v>
      </c>
    </row>
    <row r="52" spans="1:15" x14ac:dyDescent="0.35">
      <c r="A52" t="s">
        <v>29</v>
      </c>
      <c r="B52" s="3" t="s">
        <v>68</v>
      </c>
      <c r="C52" t="s">
        <v>79</v>
      </c>
      <c r="D52">
        <v>15</v>
      </c>
      <c r="E52" t="s">
        <v>56</v>
      </c>
      <c r="F52" t="s">
        <v>31</v>
      </c>
      <c r="G52" s="2" t="s">
        <v>92</v>
      </c>
      <c r="J52" t="s">
        <v>32</v>
      </c>
      <c r="O52" t="str">
        <f t="shared" si="0"/>
        <v>"RECURRING_TEMPLATE","2026-01-01","Frais Formation","15","(C) Belfius_Fri","external","3-Depenses fixes","","","M","","",""</v>
      </c>
    </row>
    <row r="53" spans="1:15" x14ac:dyDescent="0.35">
      <c r="A53" t="s">
        <v>29</v>
      </c>
      <c r="B53" s="3" t="s">
        <v>68</v>
      </c>
      <c r="C53" t="s">
        <v>88</v>
      </c>
      <c r="D53">
        <v>10</v>
      </c>
      <c r="E53" t="s">
        <v>56</v>
      </c>
      <c r="F53" t="s">
        <v>31</v>
      </c>
      <c r="G53" t="s">
        <v>92</v>
      </c>
      <c r="J53" t="s">
        <v>32</v>
      </c>
      <c r="O53" t="str">
        <f t="shared" si="0"/>
        <v>"RECURRING_TEMPLATE","2026-01-01","Frais Bancaire BELFIUS (Fri)","10","(C) Belfius_Fri","external","3-Depenses fixes","","","M","","",""</v>
      </c>
    </row>
    <row r="54" spans="1:15" x14ac:dyDescent="0.35">
      <c r="A54" t="s">
        <v>29</v>
      </c>
      <c r="B54" s="3" t="s">
        <v>68</v>
      </c>
      <c r="C54" t="s">
        <v>34</v>
      </c>
      <c r="D54">
        <v>200</v>
      </c>
      <c r="E54" t="s">
        <v>56</v>
      </c>
      <c r="F54" t="s">
        <v>31</v>
      </c>
      <c r="G54" t="s">
        <v>92</v>
      </c>
      <c r="J54" t="s">
        <v>32</v>
      </c>
      <c r="O54" t="str">
        <f t="shared" si="0"/>
        <v>"RECURRING_TEMPLATE","2026-01-01","Argent de poche","200","(C) Belfius_Fri","external","3-Depenses fixes","","","M","","",""</v>
      </c>
    </row>
    <row r="55" spans="1:15" x14ac:dyDescent="0.35">
      <c r="A55" t="s">
        <v>29</v>
      </c>
      <c r="B55" s="3" t="s">
        <v>68</v>
      </c>
      <c r="C55" t="s">
        <v>102</v>
      </c>
      <c r="D55">
        <v>100</v>
      </c>
      <c r="E55" t="s">
        <v>56</v>
      </c>
      <c r="F55" t="s">
        <v>89</v>
      </c>
      <c r="G55" t="s">
        <v>93</v>
      </c>
      <c r="J55" t="s">
        <v>32</v>
      </c>
      <c r="O55" t="str">
        <f t="shared" si="0"/>
        <v>"RECURRING_TEMPLATE","2026-01-01","Provision Aide menagere","100","(C) Belfius_Fri","(Pr) Depense_Courante_Sante_Ecole","4-Depenses variables","","","M","","",""</v>
      </c>
    </row>
    <row r="56" spans="1:15" x14ac:dyDescent="0.35">
      <c r="A56" t="s">
        <v>29</v>
      </c>
      <c r="B56" s="3" t="s">
        <v>68</v>
      </c>
      <c r="C56" t="s">
        <v>105</v>
      </c>
      <c r="D56">
        <v>200</v>
      </c>
      <c r="E56" t="s">
        <v>56</v>
      </c>
      <c r="F56" t="s">
        <v>89</v>
      </c>
      <c r="G56" t="s">
        <v>93</v>
      </c>
      <c r="J56" t="s">
        <v>32</v>
      </c>
      <c r="O56" t="str">
        <f t="shared" si="0"/>
        <v>"RECURRING_TEMPLATE","2026-01-01","Provision Garderie Activite Extra Scolaire + interets sur compte","200","(C) Belfius_Fri","(Pr) Depense_Courante_Sante_Ecole","4-Depenses variables","","","M","","",""</v>
      </c>
    </row>
    <row r="57" spans="1:15" x14ac:dyDescent="0.35">
      <c r="A57" t="s">
        <v>29</v>
      </c>
      <c r="B57" s="3" t="s">
        <v>68</v>
      </c>
      <c r="C57" t="s">
        <v>97</v>
      </c>
      <c r="D57">
        <v>70</v>
      </c>
      <c r="E57" t="s">
        <v>56</v>
      </c>
      <c r="F57" t="s">
        <v>89</v>
      </c>
      <c r="G57" t="s">
        <v>93</v>
      </c>
      <c r="J57" t="s">
        <v>32</v>
      </c>
      <c r="O57" t="str">
        <f t="shared" si="0"/>
        <v>"RECURRING_TEMPLATE","2026-01-01","Provision Visite medicale - soins - pharmacie","70","(C) Belfius_Fri","(Pr) Depense_Courante_Sante_Ecole","4-Depenses variables","","","M","","",""</v>
      </c>
    </row>
    <row r="58" spans="1:15" x14ac:dyDescent="0.35">
      <c r="A58" t="s">
        <v>29</v>
      </c>
      <c r="B58" s="3" t="s">
        <v>68</v>
      </c>
      <c r="C58" t="s">
        <v>80</v>
      </c>
      <c r="D58">
        <v>50</v>
      </c>
      <c r="E58" t="s">
        <v>56</v>
      </c>
      <c r="F58" t="s">
        <v>89</v>
      </c>
      <c r="G58" t="s">
        <v>93</v>
      </c>
      <c r="J58" t="s">
        <v>32</v>
      </c>
      <c r="O58" t="str">
        <f t="shared" si="0"/>
        <v>"RECURRING_TEMPLATE","2026-01-01","Provision  Sorties &amp; Resto","50","(C) Belfius_Fri","(Pr) Depense_Courante_Sante_Ecole","4-Depenses variables","","","M","","",""</v>
      </c>
    </row>
    <row r="59" spans="1:15" x14ac:dyDescent="0.35">
      <c r="A59" t="s">
        <v>29</v>
      </c>
      <c r="B59" s="3" t="s">
        <v>68</v>
      </c>
      <c r="C59" t="s">
        <v>98</v>
      </c>
      <c r="D59">
        <v>15</v>
      </c>
      <c r="E59" t="s">
        <v>56</v>
      </c>
      <c r="F59" t="s">
        <v>49</v>
      </c>
      <c r="G59" t="s">
        <v>94</v>
      </c>
      <c r="J59" t="s">
        <v>32</v>
      </c>
      <c r="O59" t="str">
        <f t="shared" si="0"/>
        <v>"RECURRING_TEMPLATE","2026-01-01","Provision Mutualia -  Sante","15","(C) Belfius_Fri","(Pr) Depense_Non_Courante","5- Charges differees","","","M","","",""</v>
      </c>
    </row>
    <row r="60" spans="1:15" x14ac:dyDescent="0.35">
      <c r="A60" t="s">
        <v>29</v>
      </c>
      <c r="B60" s="3" t="s">
        <v>68</v>
      </c>
      <c r="C60" t="s">
        <v>81</v>
      </c>
      <c r="D60">
        <v>160</v>
      </c>
      <c r="E60" t="s">
        <v>56</v>
      </c>
      <c r="F60" t="s">
        <v>49</v>
      </c>
      <c r="G60" t="s">
        <v>94</v>
      </c>
      <c r="J60" t="s">
        <v>32</v>
      </c>
      <c r="O60" t="str">
        <f t="shared" si="0"/>
        <v>"RECURRING_TEMPLATE","2026-01-01","Provision Yuzzu Assurance NISSAN","160","(C) Belfius_Fri","(Pr) Depense_Non_Courante","5- Charges differees","","","M","","",""</v>
      </c>
    </row>
    <row r="61" spans="1:15" x14ac:dyDescent="0.35">
      <c r="A61" t="s">
        <v>29</v>
      </c>
      <c r="B61" s="3" t="s">
        <v>68</v>
      </c>
      <c r="C61" t="s">
        <v>37</v>
      </c>
      <c r="D61">
        <v>90</v>
      </c>
      <c r="E61" t="s">
        <v>56</v>
      </c>
      <c r="F61" t="s">
        <v>49</v>
      </c>
      <c r="G61" t="s">
        <v>94</v>
      </c>
      <c r="J61" t="s">
        <v>32</v>
      </c>
      <c r="O61" t="str">
        <f t="shared" si="0"/>
        <v>"RECURRING_TEMPLATE","2026-01-01","Provision EP PENSION","90","(C) Belfius_Fri","(Pr) Depense_Non_Courante","5- Charges differees","","","M","","",""</v>
      </c>
    </row>
    <row r="62" spans="1:15" x14ac:dyDescent="0.35">
      <c r="A62" t="s">
        <v>29</v>
      </c>
      <c r="B62" s="3" t="s">
        <v>68</v>
      </c>
      <c r="C62" t="s">
        <v>82</v>
      </c>
      <c r="D62">
        <v>25</v>
      </c>
      <c r="E62" t="s">
        <v>56</v>
      </c>
      <c r="F62" t="s">
        <v>49</v>
      </c>
      <c r="G62" t="s">
        <v>94</v>
      </c>
      <c r="J62" t="s">
        <v>32</v>
      </c>
      <c r="O62" t="str">
        <f t="shared" si="0"/>
        <v>"RECURRING_TEMPLATE","2026-01-01","Provison Nissan CT + TC","25","(C) Belfius_Fri","(Pr) Depense_Non_Courante","5- Charges differees","","","M","","",""</v>
      </c>
    </row>
    <row r="63" spans="1:15" x14ac:dyDescent="0.35">
      <c r="A63" t="s">
        <v>29</v>
      </c>
      <c r="B63" s="3" t="s">
        <v>68</v>
      </c>
      <c r="C63" t="s">
        <v>83</v>
      </c>
      <c r="D63">
        <v>75</v>
      </c>
      <c r="E63" t="s">
        <v>56</v>
      </c>
      <c r="F63" t="s">
        <v>49</v>
      </c>
      <c r="G63" t="s">
        <v>104</v>
      </c>
      <c r="J63" t="s">
        <v>32</v>
      </c>
      <c r="O63" t="str">
        <f t="shared" si="0"/>
        <v>"RECURRING_TEMPLATE","2026-01-01","Provision USA 2026","75","(C) Belfius_Fri","(Pr) Depense_Non_Courante","6-Bien-etre Programme","","","M","","",""</v>
      </c>
    </row>
    <row r="64" spans="1:15" x14ac:dyDescent="0.35">
      <c r="A64" t="s">
        <v>29</v>
      </c>
      <c r="B64" s="3" t="s">
        <v>68</v>
      </c>
      <c r="C64" t="s">
        <v>62</v>
      </c>
      <c r="D64">
        <v>0</v>
      </c>
      <c r="E64" t="s">
        <v>56</v>
      </c>
      <c r="F64" t="s">
        <v>49</v>
      </c>
      <c r="G64" t="s">
        <v>104</v>
      </c>
      <c r="J64" t="s">
        <v>32</v>
      </c>
      <c r="O64" t="str">
        <f t="shared" si="0"/>
        <v>"RECURRING_TEMPLATE","2026-01-01","Provison Petites Vacances &amp; weekend","0","(C) Belfius_Fri","(Pr) Depense_Non_Courante","6-Bien-etre Programme","","","M","","",""</v>
      </c>
    </row>
    <row r="65" spans="1:15" x14ac:dyDescent="0.35">
      <c r="A65" t="s">
        <v>29</v>
      </c>
      <c r="B65" s="3" t="s">
        <v>68</v>
      </c>
      <c r="C65" t="s">
        <v>84</v>
      </c>
      <c r="D65">
        <v>0</v>
      </c>
      <c r="E65" t="s">
        <v>56</v>
      </c>
      <c r="F65" t="s">
        <v>49</v>
      </c>
      <c r="G65" t="s">
        <v>104</v>
      </c>
      <c r="J65" t="s">
        <v>32</v>
      </c>
      <c r="O65" t="str">
        <f t="shared" si="0"/>
        <v>"RECURRING_TEMPLATE","2026-01-01","Provison Noël","0","(C) Belfius_Fri","(Pr) Depense_Non_Courante","6-Bien-etre Programme","","","M","","",""</v>
      </c>
    </row>
    <row r="66" spans="1:15" x14ac:dyDescent="0.35">
      <c r="A66" t="s">
        <v>29</v>
      </c>
      <c r="B66" s="3" t="s">
        <v>68</v>
      </c>
      <c r="C66" t="s">
        <v>85</v>
      </c>
      <c r="D66">
        <v>50</v>
      </c>
      <c r="E66" t="s">
        <v>56</v>
      </c>
      <c r="F66" t="s">
        <v>49</v>
      </c>
      <c r="G66" t="s">
        <v>53</v>
      </c>
      <c r="J66" t="s">
        <v>32</v>
      </c>
      <c r="O66" t="str">
        <f t="shared" ref="O66:O73" si="1">""""&amp;A66&amp;""","""&amp;B66&amp;""","""&amp;C66&amp;""","""&amp;D66&amp;""","""&amp;E66&amp;""","""&amp;F66&amp;""","""&amp;G66&amp;""","""&amp;H66&amp;""","""&amp;I66&amp;""","""&amp;J66&amp;""","""&amp;K66&amp;""","""&amp;L66&amp;""","""&amp;M66&amp;""""</f>
        <v>"RECURRING_TEMPLATE","2026-01-01","Provison - Travaux Maison","50","(C) Belfius_Fri","(Pr) Depense_Non_Courante","7-Divers et hors budget","","","M","","",""</v>
      </c>
    </row>
    <row r="67" spans="1:15" x14ac:dyDescent="0.35">
      <c r="A67" t="s">
        <v>29</v>
      </c>
      <c r="B67" s="3" t="s">
        <v>68</v>
      </c>
      <c r="C67" t="s">
        <v>86</v>
      </c>
      <c r="D67">
        <v>15</v>
      </c>
      <c r="E67" t="s">
        <v>56</v>
      </c>
      <c r="F67" t="s">
        <v>49</v>
      </c>
      <c r="G67" t="s">
        <v>53</v>
      </c>
      <c r="J67" t="s">
        <v>32</v>
      </c>
      <c r="O67" t="str">
        <f t="shared" si="1"/>
        <v>"RECURRING_TEMPLATE","2026-01-01","Provision SWDE","15","(C) Belfius_Fri","(Pr) Depense_Non_Courante","7-Divers et hors budget","","","M","","",""</v>
      </c>
    </row>
    <row r="68" spans="1:15" x14ac:dyDescent="0.35">
      <c r="A68" t="s">
        <v>29</v>
      </c>
      <c r="B68" s="3" t="s">
        <v>68</v>
      </c>
      <c r="C68" t="s">
        <v>87</v>
      </c>
      <c r="D68">
        <v>10</v>
      </c>
      <c r="E68" t="s">
        <v>56</v>
      </c>
      <c r="F68" t="s">
        <v>49</v>
      </c>
      <c r="G68" t="s">
        <v>53</v>
      </c>
      <c r="J68" t="s">
        <v>32</v>
      </c>
      <c r="O68" t="str">
        <f t="shared" si="1"/>
        <v>"RECURRING_TEMPLATE","2026-01-01","Provision Engie","10","(C) Belfius_Fri","(Pr) Depense_Non_Courante","7-Divers et hors budget","","","M","","",""</v>
      </c>
    </row>
    <row r="69" spans="1:15" x14ac:dyDescent="0.35">
      <c r="A69" t="s">
        <v>29</v>
      </c>
      <c r="B69" s="3" t="s">
        <v>68</v>
      </c>
      <c r="C69" t="s">
        <v>99</v>
      </c>
      <c r="D69">
        <v>20</v>
      </c>
      <c r="E69" t="s">
        <v>56</v>
      </c>
      <c r="F69" t="s">
        <v>49</v>
      </c>
      <c r="G69" t="s">
        <v>53</v>
      </c>
      <c r="J69" t="s">
        <v>32</v>
      </c>
      <c r="O69" t="str">
        <f t="shared" si="1"/>
        <v>"RECURRING_TEMPLATE","2026-01-01","Provision Auto Reparations","20","(C) Belfius_Fri","(Pr) Depense_Non_Courante","7-Divers et hors budget","","","M","","",""</v>
      </c>
    </row>
    <row r="70" spans="1:15" x14ac:dyDescent="0.35">
      <c r="A70" t="s">
        <v>29</v>
      </c>
      <c r="B70" s="3" t="s">
        <v>68</v>
      </c>
      <c r="C70" t="s">
        <v>106</v>
      </c>
      <c r="D70">
        <v>15</v>
      </c>
      <c r="E70" t="s">
        <v>56</v>
      </c>
      <c r="F70" t="s">
        <v>49</v>
      </c>
      <c r="G70" t="s">
        <v>53</v>
      </c>
      <c r="J70" t="s">
        <v>32</v>
      </c>
      <c r="O70" t="str">
        <f t="shared" si="1"/>
        <v>"RECURRING_TEMPLATE","2026-01-01","Provison Interets &amp; Divers hors budgets","15","(C) Belfius_Fri","(Pr) Depense_Non_Courante","7-Divers et hors budget","","","M","","",""</v>
      </c>
    </row>
    <row r="71" spans="1:15" x14ac:dyDescent="0.35">
      <c r="A71" t="s">
        <v>29</v>
      </c>
      <c r="B71" s="3" t="s">
        <v>68</v>
      </c>
      <c r="C71" t="s">
        <v>41</v>
      </c>
      <c r="D71">
        <v>100</v>
      </c>
      <c r="E71" t="s">
        <v>56</v>
      </c>
      <c r="F71" t="s">
        <v>31</v>
      </c>
      <c r="G71" t="s">
        <v>95</v>
      </c>
      <c r="J71" t="s">
        <v>32</v>
      </c>
      <c r="O71" t="str">
        <f t="shared" si="1"/>
        <v>"RECURRING_TEMPLATE","2026-01-01","Provision Daddy","100","(C) Belfius_Fri","external","8-Discretionnaire","","","M","","",""</v>
      </c>
    </row>
    <row r="72" spans="1:15" x14ac:dyDescent="0.35">
      <c r="A72" t="s">
        <v>29</v>
      </c>
      <c r="B72" s="3" t="s">
        <v>68</v>
      </c>
      <c r="C72" t="s">
        <v>38</v>
      </c>
      <c r="D72">
        <v>30</v>
      </c>
      <c r="E72" t="s">
        <v>56</v>
      </c>
      <c r="F72" t="s">
        <v>31</v>
      </c>
      <c r="G72" t="s">
        <v>95</v>
      </c>
      <c r="J72" t="s">
        <v>32</v>
      </c>
      <c r="O72" t="str">
        <f t="shared" si="1"/>
        <v>"RECURRING_TEMPLATE","2026-01-01","Provison Tema","30","(C) Belfius_Fri","external","8-Discretionnaire","","","M","","",""</v>
      </c>
    </row>
    <row r="73" spans="1:15" x14ac:dyDescent="0.35">
      <c r="A73" t="s">
        <v>29</v>
      </c>
      <c r="B73" s="3" t="s">
        <v>68</v>
      </c>
      <c r="C73" t="s">
        <v>103</v>
      </c>
      <c r="D73">
        <v>50</v>
      </c>
      <c r="E73" t="s">
        <v>56</v>
      </c>
      <c r="F73" t="s">
        <v>31</v>
      </c>
      <c r="G73" t="s">
        <v>95</v>
      </c>
      <c r="J73" t="s">
        <v>32</v>
      </c>
      <c r="O73" t="str">
        <f t="shared" si="1"/>
        <v>"RECURRING_TEMPLATE","2026-01-01","Provision Hygiene-Tresse","50","(C) Belfius_Fri","external","8-Discretionnaire","","","M","","",""</v>
      </c>
    </row>
  </sheetData>
  <phoneticPr fontId="19" type="noConversion"/>
  <conditionalFormatting sqref="C1:C1048576">
    <cfRule type="duplicateValues" dxfId="0" priority="1"/>
  </conditionalFormatting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strady-full-backup-2026-04-15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Tsemengue</cp:lastModifiedBy>
  <dcterms:created xsi:type="dcterms:W3CDTF">2026-04-17T19:04:54Z</dcterms:created>
  <dcterms:modified xsi:type="dcterms:W3CDTF">2026-04-17T21:56:22Z</dcterms:modified>
</cp:coreProperties>
</file>